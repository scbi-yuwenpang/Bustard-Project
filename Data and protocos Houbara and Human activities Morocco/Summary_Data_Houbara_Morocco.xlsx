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inet-my.sharepoint.com/personal/pangy_si_edu/Documents/Bustard/01_Data/Reneco/Data and protocos Houbara and Human activities Morocco/"/>
    </mc:Choice>
  </mc:AlternateContent>
  <xr:revisionPtr revIDLastSave="35" documentId="13_ncr:1_{DFEBF44D-D3F9-43D9-8DA9-9A274FF46371}" xr6:coauthVersionLast="47" xr6:coauthVersionMax="47" xr10:uidLastSave="{A43CEB73-96BF-424E-8258-8B94622341A5}"/>
  <bookViews>
    <workbookView minimized="1" xWindow="7776" yWindow="1320" windowWidth="23040" windowHeight="12120" firstSheet="2" activeTab="7" xr2:uid="{B754BB35-17A1-4581-A6D6-1B7FA3B94980}"/>
  </bookViews>
  <sheets>
    <sheet name="Standardized_Count_Obs_Point" sheetId="1" r:id="rId1"/>
    <sheet name="Display_observations" sheetId="3" r:id="rId2"/>
    <sheet name="Houbara_observations_Non_Stand" sheetId="4" r:id="rId3"/>
    <sheet name="Houbara_nests_data" sheetId="5" r:id="rId4"/>
    <sheet name="Automatic_equipment" sheetId="6" r:id="rId5"/>
    <sheet name="VHF_Equipment" sheetId="7" r:id="rId6"/>
    <sheet name="Raw_Automatic_Locations" sheetId="8" r:id="rId7"/>
    <sheet name="Readme" sheetId="9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6" i="7" l="1"/>
  <c r="K37" i="7"/>
  <c r="K38" i="7"/>
  <c r="K39" i="7"/>
  <c r="J36" i="7"/>
  <c r="J37" i="7"/>
  <c r="J38" i="7"/>
  <c r="J39" i="7"/>
  <c r="F36" i="7"/>
  <c r="F37" i="7"/>
  <c r="F38" i="7"/>
  <c r="F39" i="7"/>
  <c r="D36" i="6"/>
  <c r="E36" i="6"/>
  <c r="E40" i="6" s="1"/>
  <c r="F36" i="6"/>
  <c r="G36" i="6"/>
  <c r="H36" i="6"/>
  <c r="I36" i="6"/>
  <c r="J36" i="6"/>
  <c r="K36" i="6"/>
  <c r="K3" i="7"/>
  <c r="K4" i="7"/>
  <c r="K5" i="7"/>
  <c r="K6" i="7"/>
  <c r="K7" i="7"/>
  <c r="K8" i="7"/>
  <c r="K9" i="7"/>
  <c r="K10" i="7"/>
  <c r="K11" i="7"/>
  <c r="J3" i="7"/>
  <c r="J4" i="7"/>
  <c r="J5" i="7"/>
  <c r="J6" i="7"/>
  <c r="J26" i="7" s="1"/>
  <c r="J7" i="7"/>
  <c r="J8" i="7"/>
  <c r="J9" i="7"/>
  <c r="J10" i="7"/>
  <c r="J11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3" i="7"/>
  <c r="F26" i="7" s="1"/>
  <c r="D26" i="7"/>
  <c r="E26" i="7"/>
  <c r="G26" i="7"/>
  <c r="H26" i="7"/>
  <c r="I26" i="7"/>
  <c r="C26" i="7"/>
  <c r="I41" i="7"/>
  <c r="H41" i="7"/>
  <c r="G41" i="7"/>
  <c r="E41" i="7"/>
  <c r="D41" i="7"/>
  <c r="C41" i="7"/>
  <c r="J40" i="7"/>
  <c r="F40" i="7"/>
  <c r="J35" i="7"/>
  <c r="F35" i="7"/>
  <c r="I34" i="7"/>
  <c r="H34" i="7"/>
  <c r="G34" i="7"/>
  <c r="E34" i="7"/>
  <c r="D34" i="7"/>
  <c r="C34" i="7"/>
  <c r="J33" i="7"/>
  <c r="F33" i="7"/>
  <c r="J32" i="7"/>
  <c r="F32" i="7"/>
  <c r="J31" i="7"/>
  <c r="F31" i="7"/>
  <c r="J30" i="7"/>
  <c r="F30" i="7"/>
  <c r="J29" i="7"/>
  <c r="F29" i="7"/>
  <c r="J28" i="7"/>
  <c r="F28" i="7"/>
  <c r="J27" i="7"/>
  <c r="F27" i="7"/>
  <c r="J25" i="7"/>
  <c r="J24" i="7"/>
  <c r="J23" i="7"/>
  <c r="J22" i="7"/>
  <c r="J21" i="7"/>
  <c r="J20" i="7"/>
  <c r="J19" i="7"/>
  <c r="J18" i="7"/>
  <c r="J17" i="7"/>
  <c r="J16" i="7"/>
  <c r="J15" i="7"/>
  <c r="J14" i="7"/>
  <c r="J13" i="7"/>
  <c r="J12" i="7"/>
  <c r="K38" i="6"/>
  <c r="K37" i="6"/>
  <c r="J38" i="6"/>
  <c r="J37" i="6"/>
  <c r="F38" i="6"/>
  <c r="F37" i="6"/>
  <c r="D40" i="6"/>
  <c r="G40" i="6"/>
  <c r="H40" i="6"/>
  <c r="I40" i="6"/>
  <c r="C40" i="6"/>
  <c r="D39" i="6"/>
  <c r="E39" i="6"/>
  <c r="G39" i="6"/>
  <c r="H39" i="6"/>
  <c r="I39" i="6"/>
  <c r="J39" i="6"/>
  <c r="J40" i="6" s="1"/>
  <c r="K39" i="6"/>
  <c r="C39" i="6"/>
  <c r="K26" i="6"/>
  <c r="K27" i="6"/>
  <c r="K28" i="6"/>
  <c r="K29" i="6"/>
  <c r="K30" i="6"/>
  <c r="K31" i="6"/>
  <c r="K32" i="6"/>
  <c r="K33" i="6"/>
  <c r="K34" i="6"/>
  <c r="K35" i="6"/>
  <c r="K25" i="6"/>
  <c r="J26" i="6"/>
  <c r="J27" i="6"/>
  <c r="J28" i="6"/>
  <c r="J29" i="6"/>
  <c r="J30" i="6"/>
  <c r="J31" i="6"/>
  <c r="J32" i="6"/>
  <c r="J33" i="6"/>
  <c r="J34" i="6"/>
  <c r="J35" i="6"/>
  <c r="J25" i="6"/>
  <c r="F26" i="6"/>
  <c r="F27" i="6"/>
  <c r="F28" i="6"/>
  <c r="F29" i="6"/>
  <c r="F30" i="6"/>
  <c r="F31" i="6"/>
  <c r="F32" i="6"/>
  <c r="F33" i="6"/>
  <c r="F34" i="6"/>
  <c r="F35" i="6"/>
  <c r="F25" i="6"/>
  <c r="C36" i="6"/>
  <c r="K4" i="6"/>
  <c r="K5" i="6"/>
  <c r="K6" i="6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3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3" i="6"/>
  <c r="D24" i="6"/>
  <c r="E24" i="6"/>
  <c r="G24" i="6"/>
  <c r="H24" i="6"/>
  <c r="I24" i="6"/>
  <c r="J24" i="6"/>
  <c r="C24" i="6"/>
  <c r="J41" i="7" l="1"/>
  <c r="K40" i="6"/>
  <c r="K28" i="7"/>
  <c r="K32" i="7"/>
  <c r="K23" i="7"/>
  <c r="K19" i="7"/>
  <c r="K31" i="7"/>
  <c r="K33" i="7"/>
  <c r="K15" i="7"/>
  <c r="K18" i="7"/>
  <c r="K22" i="7"/>
  <c r="K35" i="7"/>
  <c r="K12" i="7"/>
  <c r="C42" i="7"/>
  <c r="K16" i="7"/>
  <c r="H42" i="7"/>
  <c r="D42" i="7"/>
  <c r="K21" i="7"/>
  <c r="E42" i="7"/>
  <c r="K14" i="7"/>
  <c r="K25" i="7"/>
  <c r="K29" i="7"/>
  <c r="G42" i="7"/>
  <c r="J34" i="7"/>
  <c r="K17" i="7"/>
  <c r="K30" i="7"/>
  <c r="I42" i="7"/>
  <c r="K13" i="7"/>
  <c r="K24" i="7"/>
  <c r="K20" i="7"/>
  <c r="F34" i="7"/>
  <c r="K40" i="7"/>
  <c r="K27" i="7"/>
  <c r="F41" i="7"/>
  <c r="F39" i="6"/>
  <c r="F40" i="6" s="1"/>
  <c r="K24" i="6"/>
  <c r="F24" i="6"/>
  <c r="D11" i="5"/>
  <c r="E11" i="5"/>
  <c r="C11" i="5"/>
  <c r="F12" i="4"/>
  <c r="J10" i="3"/>
  <c r="K26" i="7" l="1"/>
  <c r="K34" i="7"/>
  <c r="K41" i="7"/>
  <c r="F42" i="7"/>
  <c r="J42" i="7"/>
  <c r="K42" i="7" l="1"/>
</calcChain>
</file>

<file path=xl/sharedStrings.xml><?xml version="1.0" encoding="utf-8"?>
<sst xmlns="http://schemas.openxmlformats.org/spreadsheetml/2006/main" count="155" uniqueCount="58">
  <si>
    <t>Observation points - Houbara count</t>
  </si>
  <si>
    <t>Observation points - Houbara displaying males count</t>
  </si>
  <si>
    <t>Working area</t>
  </si>
  <si>
    <t>Working region</t>
  </si>
  <si>
    <t>Eastern Morocco</t>
  </si>
  <si>
    <t>Bouarfa</t>
  </si>
  <si>
    <t>Missour</t>
  </si>
  <si>
    <t>North Maatarka</t>
  </si>
  <si>
    <t>South Maatarka</t>
  </si>
  <si>
    <t>Total Eastern Morocco</t>
  </si>
  <si>
    <t>Tata</t>
  </si>
  <si>
    <t>Total Tata</t>
  </si>
  <si>
    <t>From</t>
  </si>
  <si>
    <t>To</t>
  </si>
  <si>
    <t>Number of years</t>
  </si>
  <si>
    <t>Number of observation points</t>
  </si>
  <si>
    <t>Total all</t>
  </si>
  <si>
    <t>Number of HB observations</t>
  </si>
  <si>
    <t>During standardized counts</t>
  </si>
  <si>
    <t>During other field protocols</t>
  </si>
  <si>
    <t>Number of displaying Houbara males</t>
  </si>
  <si>
    <t>Other areas</t>
  </si>
  <si>
    <t>Total Other</t>
  </si>
  <si>
    <t>Number of nests located</t>
  </si>
  <si>
    <t>Number of nests monitored</t>
  </si>
  <si>
    <t>Number of nests from females equipped</t>
  </si>
  <si>
    <t>Captive bred</t>
  </si>
  <si>
    <t>Total Captive bred</t>
  </si>
  <si>
    <t>Wild</t>
  </si>
  <si>
    <t>Total Wild</t>
  </si>
  <si>
    <t>Female</t>
  </si>
  <si>
    <t>Male</t>
  </si>
  <si>
    <t>Unknown</t>
  </si>
  <si>
    <t>Working_Area</t>
  </si>
  <si>
    <t>Year_Equipment</t>
  </si>
  <si>
    <t>Total</t>
  </si>
  <si>
    <t>Other</t>
  </si>
  <si>
    <t>Year</t>
  </si>
  <si>
    <t>Argos</t>
  </si>
  <si>
    <t>Total Argos</t>
  </si>
  <si>
    <t>GPS</t>
  </si>
  <si>
    <t>Total GPS</t>
  </si>
  <si>
    <t>Location_Type</t>
  </si>
  <si>
    <t>Standardized_Count_Obs_Point</t>
  </si>
  <si>
    <t>Display_observations</t>
  </si>
  <si>
    <t>Houbara_observations_Non_Stand</t>
  </si>
  <si>
    <t>Houbara_nests_data</t>
  </si>
  <si>
    <t>Automatic_equipment</t>
  </si>
  <si>
    <t>VHF_Equipment</t>
  </si>
  <si>
    <t>Raw_Automatic_Locations</t>
  </si>
  <si>
    <t xml:space="preserve"> 1 GPS location by hour, removal of aberrant locations (inconsistent coordinates, inconsistent date-time).</t>
  </si>
  <si>
    <t>All circular observation points realized of Houbara count or displaying males search with related number of observations of Houbara, by area and with interval of years.</t>
  </si>
  <si>
    <t>All observations of displaying males during standardized counts or other protocols by area and with interval of years.</t>
  </si>
  <si>
    <t>All observations of Houbara outside of standardized counts</t>
  </si>
  <si>
    <t>All nests locations by area</t>
  </si>
  <si>
    <t>Number of individuals equipped with automatic transmitter (satellite/gsm) by first year of equipment, sex and origin</t>
  </si>
  <si>
    <t>Number of individuals equipped with VHF transmitters (observation directly in the field) by first year of equipment, sex and origin</t>
  </si>
  <si>
    <t>Number of locations provided by automatic transmitters  (Argos/GPS) before filtering for import in ecology database. Filtering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</si>
</sst>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242424"/>
      <name val="Aptos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CC"/>
        <bgColor indexed="64"/>
      </patternFill>
    </fill>
    <fill>
      <patternFill patternType="solid">
        <fgColor rgb="FFFFFFCC"/>
        <bgColor theme="4" tint="0.79998168889431442"/>
      </pattern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rgb="FFFFFFCC"/>
        <bgColor theme="0" tint="-0.14999847407452621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/>
      <top style="thin">
        <color theme="4" tint="0.39997558519241921"/>
      </top>
      <bottom/>
      <diagonal/>
    </border>
    <border>
      <left/>
      <right/>
      <top/>
      <bottom style="thin">
        <color theme="4"/>
      </bottom>
      <diagonal/>
    </border>
    <border>
      <left/>
      <right/>
      <top style="thin">
        <color theme="4"/>
      </top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" fillId="6" borderId="5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0" fillId="0" borderId="0" xfId="0" applyFill="1"/>
    <xf numFmtId="0" fontId="0" fillId="0" borderId="0" xfId="0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" fillId="6" borderId="4" xfId="0" applyFont="1" applyFill="1" applyBorder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5" borderId="8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0A7DD-FB88-44B6-A631-74C25CD5901E}">
  <dimension ref="A1:L10"/>
  <sheetViews>
    <sheetView workbookViewId="0">
      <selection activeCell="B5" sqref="B5"/>
    </sheetView>
  </sheetViews>
  <sheetFormatPr defaultColWidth="11.44140625" defaultRowHeight="14.4" x14ac:dyDescent="0.3"/>
  <cols>
    <col min="1" max="1" width="21" style="1" bestFit="1" customWidth="1"/>
    <col min="2" max="2" width="14.88671875" style="1" bestFit="1" customWidth="1"/>
    <col min="3" max="3" width="10.5546875" style="1" customWidth="1"/>
    <col min="4" max="4" width="10.6640625" style="1" customWidth="1"/>
    <col min="5" max="5" width="15.88671875" style="1" bestFit="1" customWidth="1"/>
    <col min="6" max="6" width="28.33203125" style="1" bestFit="1" customWidth="1"/>
    <col min="7" max="7" width="31" style="1" customWidth="1"/>
    <col min="8" max="8" width="13.88671875" style="1" customWidth="1"/>
    <col min="9" max="9" width="12.33203125" style="1" customWidth="1"/>
    <col min="10" max="10" width="15.88671875" style="1" bestFit="1" customWidth="1"/>
    <col min="11" max="11" width="28.33203125" style="1" bestFit="1" customWidth="1"/>
    <col min="12" max="12" width="28.33203125" style="1" customWidth="1"/>
    <col min="13" max="16384" width="11.44140625" style="1"/>
  </cols>
  <sheetData>
    <row r="1" spans="1:12" x14ac:dyDescent="0.3">
      <c r="A1" s="2"/>
      <c r="B1" s="2"/>
      <c r="C1" s="22" t="s">
        <v>0</v>
      </c>
      <c r="D1" s="22"/>
      <c r="E1" s="22"/>
      <c r="F1" s="22"/>
      <c r="G1" s="22"/>
      <c r="H1" s="22" t="s">
        <v>1</v>
      </c>
      <c r="I1" s="22"/>
      <c r="J1" s="22"/>
      <c r="K1" s="22"/>
      <c r="L1" s="22"/>
    </row>
    <row r="2" spans="1:12" x14ac:dyDescent="0.3">
      <c r="A2" s="3" t="s">
        <v>2</v>
      </c>
      <c r="B2" s="3" t="s">
        <v>3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17</v>
      </c>
      <c r="H2" s="3" t="s">
        <v>12</v>
      </c>
      <c r="I2" s="3" t="s">
        <v>13</v>
      </c>
      <c r="J2" s="3" t="s">
        <v>14</v>
      </c>
      <c r="K2" s="3" t="s">
        <v>15</v>
      </c>
      <c r="L2" s="3" t="s">
        <v>17</v>
      </c>
    </row>
    <row r="3" spans="1:12" x14ac:dyDescent="0.3">
      <c r="A3" s="21" t="s">
        <v>4</v>
      </c>
      <c r="B3" s="4" t="s">
        <v>5</v>
      </c>
      <c r="C3" s="4">
        <v>2002</v>
      </c>
      <c r="D3" s="4">
        <v>2024</v>
      </c>
      <c r="E3" s="4">
        <v>21</v>
      </c>
      <c r="F3" s="4">
        <v>5385</v>
      </c>
      <c r="G3" s="4">
        <v>1225</v>
      </c>
      <c r="H3" s="4">
        <v>2002</v>
      </c>
      <c r="I3" s="4">
        <v>2024</v>
      </c>
      <c r="J3" s="4">
        <v>21</v>
      </c>
      <c r="K3" s="4">
        <v>0</v>
      </c>
      <c r="L3" s="4">
        <v>1225</v>
      </c>
    </row>
    <row r="4" spans="1:12" x14ac:dyDescent="0.3">
      <c r="A4" s="21"/>
      <c r="B4" s="4" t="s">
        <v>6</v>
      </c>
      <c r="C4" s="4">
        <v>2001</v>
      </c>
      <c r="D4" s="4">
        <v>2025</v>
      </c>
      <c r="E4" s="4">
        <v>25</v>
      </c>
      <c r="F4" s="4">
        <v>8133</v>
      </c>
      <c r="G4" s="4">
        <v>2701</v>
      </c>
      <c r="H4" s="4">
        <v>2001</v>
      </c>
      <c r="I4" s="4">
        <v>2025</v>
      </c>
      <c r="J4" s="4">
        <v>25</v>
      </c>
      <c r="K4" s="4">
        <v>17165</v>
      </c>
      <c r="L4" s="4">
        <v>6331</v>
      </c>
    </row>
    <row r="5" spans="1:12" x14ac:dyDescent="0.3">
      <c r="A5" s="21"/>
      <c r="B5" s="4" t="s">
        <v>7</v>
      </c>
      <c r="C5" s="4">
        <v>2002</v>
      </c>
      <c r="D5" s="4">
        <v>2024</v>
      </c>
      <c r="E5" s="4">
        <v>14</v>
      </c>
      <c r="F5" s="4">
        <v>4188</v>
      </c>
      <c r="G5" s="4">
        <v>866</v>
      </c>
      <c r="H5" s="4">
        <v>2002</v>
      </c>
      <c r="I5" s="4">
        <v>2024</v>
      </c>
      <c r="J5" s="4">
        <v>14</v>
      </c>
      <c r="K5" s="4">
        <v>0</v>
      </c>
      <c r="L5" s="4">
        <v>866</v>
      </c>
    </row>
    <row r="6" spans="1:12" x14ac:dyDescent="0.3">
      <c r="A6" s="21"/>
      <c r="B6" s="4" t="s">
        <v>8</v>
      </c>
      <c r="C6" s="4">
        <v>2007</v>
      </c>
      <c r="D6" s="4">
        <v>2024</v>
      </c>
      <c r="E6" s="4">
        <v>14</v>
      </c>
      <c r="F6" s="4">
        <v>3403</v>
      </c>
      <c r="G6" s="4">
        <v>751</v>
      </c>
      <c r="H6" s="4">
        <v>2007</v>
      </c>
      <c r="I6" s="4">
        <v>2024</v>
      </c>
      <c r="J6" s="4">
        <v>14</v>
      </c>
      <c r="K6" s="4">
        <v>0</v>
      </c>
      <c r="L6" s="4">
        <v>751</v>
      </c>
    </row>
    <row r="7" spans="1:12" x14ac:dyDescent="0.3">
      <c r="A7" s="23" t="s">
        <v>9</v>
      </c>
      <c r="B7" s="24"/>
      <c r="C7" s="5">
        <v>2001</v>
      </c>
      <c r="D7" s="5">
        <v>2025</v>
      </c>
      <c r="E7" s="5">
        <v>25</v>
      </c>
      <c r="F7" s="5">
        <v>21109</v>
      </c>
      <c r="G7" s="5">
        <v>5543</v>
      </c>
      <c r="H7" s="5">
        <v>2001</v>
      </c>
      <c r="I7" s="5">
        <v>2025</v>
      </c>
      <c r="J7" s="5">
        <v>25</v>
      </c>
      <c r="K7" s="5">
        <v>17165</v>
      </c>
      <c r="L7" s="5">
        <v>9173</v>
      </c>
    </row>
    <row r="8" spans="1:12" x14ac:dyDescent="0.3">
      <c r="A8" s="7" t="s">
        <v>10</v>
      </c>
      <c r="B8" s="4" t="s">
        <v>10</v>
      </c>
      <c r="C8" s="4">
        <v>2010</v>
      </c>
      <c r="D8" s="4">
        <v>2023</v>
      </c>
      <c r="E8" s="4">
        <v>13</v>
      </c>
      <c r="F8" s="4">
        <v>2509</v>
      </c>
      <c r="G8" s="4">
        <v>168</v>
      </c>
      <c r="H8" s="4">
        <v>2010</v>
      </c>
      <c r="I8" s="4">
        <v>2023</v>
      </c>
      <c r="J8" s="4">
        <v>13</v>
      </c>
      <c r="K8" s="4">
        <v>0</v>
      </c>
      <c r="L8" s="4">
        <v>168</v>
      </c>
    </row>
    <row r="9" spans="1:12" x14ac:dyDescent="0.3">
      <c r="A9" s="23" t="s">
        <v>11</v>
      </c>
      <c r="B9" s="24"/>
      <c r="C9" s="5">
        <v>2010</v>
      </c>
      <c r="D9" s="5">
        <v>2023</v>
      </c>
      <c r="E9" s="5">
        <v>13</v>
      </c>
      <c r="F9" s="5">
        <v>2509</v>
      </c>
      <c r="G9" s="5">
        <v>168</v>
      </c>
      <c r="H9" s="5">
        <v>2010</v>
      </c>
      <c r="I9" s="5">
        <v>2023</v>
      </c>
      <c r="J9" s="5">
        <v>13</v>
      </c>
      <c r="K9" s="5">
        <v>0</v>
      </c>
      <c r="L9" s="5">
        <v>168</v>
      </c>
    </row>
    <row r="10" spans="1:12" x14ac:dyDescent="0.3">
      <c r="A10" s="19" t="s">
        <v>16</v>
      </c>
      <c r="B10" s="20"/>
      <c r="C10" s="6">
        <v>2001</v>
      </c>
      <c r="D10" s="6">
        <v>2025</v>
      </c>
      <c r="E10" s="6">
        <v>25</v>
      </c>
      <c r="F10" s="6">
        <v>23660</v>
      </c>
      <c r="G10" s="6">
        <v>5711</v>
      </c>
      <c r="H10" s="6">
        <v>2001</v>
      </c>
      <c r="I10" s="6">
        <v>2025</v>
      </c>
      <c r="J10" s="6">
        <v>25</v>
      </c>
      <c r="K10" s="6">
        <v>17165</v>
      </c>
      <c r="L10" s="6">
        <v>9341</v>
      </c>
    </row>
  </sheetData>
  <mergeCells count="6">
    <mergeCell ref="A10:B10"/>
    <mergeCell ref="A3:A6"/>
    <mergeCell ref="C1:G1"/>
    <mergeCell ref="H1:L1"/>
    <mergeCell ref="A9:B9"/>
    <mergeCell ref="A7:B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54DE2-1A74-42D5-A3A1-2666AFDAA945}">
  <dimension ref="A1:J10"/>
  <sheetViews>
    <sheetView workbookViewId="0">
      <selection activeCell="D23" sqref="D23"/>
    </sheetView>
  </sheetViews>
  <sheetFormatPr defaultColWidth="11.5546875" defaultRowHeight="14.4" x14ac:dyDescent="0.3"/>
  <cols>
    <col min="1" max="1" width="21" bestFit="1" customWidth="1"/>
    <col min="2" max="2" width="14.88671875" bestFit="1" customWidth="1"/>
    <col min="3" max="3" width="12" bestFit="1" customWidth="1"/>
    <col min="5" max="5" width="15.88671875" bestFit="1" customWidth="1"/>
    <col min="6" max="6" width="34.5546875" bestFit="1" customWidth="1"/>
    <col min="9" max="9" width="15.88671875" bestFit="1" customWidth="1"/>
    <col min="10" max="10" width="34.5546875" bestFit="1" customWidth="1"/>
  </cols>
  <sheetData>
    <row r="1" spans="1:10" x14ac:dyDescent="0.3">
      <c r="A1" s="2"/>
      <c r="B1" s="2"/>
      <c r="C1" s="22" t="s">
        <v>18</v>
      </c>
      <c r="D1" s="22"/>
      <c r="E1" s="22"/>
      <c r="F1" s="22"/>
      <c r="G1" s="22" t="s">
        <v>19</v>
      </c>
      <c r="H1" s="22"/>
      <c r="I1" s="22"/>
      <c r="J1" s="22"/>
    </row>
    <row r="2" spans="1:10" x14ac:dyDescent="0.3">
      <c r="A2" s="3" t="s">
        <v>2</v>
      </c>
      <c r="B2" s="3" t="s">
        <v>3</v>
      </c>
      <c r="C2" s="3" t="s">
        <v>12</v>
      </c>
      <c r="D2" s="3" t="s">
        <v>13</v>
      </c>
      <c r="E2" s="3" t="s">
        <v>14</v>
      </c>
      <c r="F2" s="3" t="s">
        <v>20</v>
      </c>
      <c r="G2" s="3" t="s">
        <v>12</v>
      </c>
      <c r="H2" s="3" t="s">
        <v>13</v>
      </c>
      <c r="I2" s="3" t="s">
        <v>14</v>
      </c>
      <c r="J2" s="3" t="s">
        <v>20</v>
      </c>
    </row>
    <row r="3" spans="1:10" x14ac:dyDescent="0.3">
      <c r="A3" s="21" t="s">
        <v>4</v>
      </c>
      <c r="B3" s="4" t="s">
        <v>5</v>
      </c>
      <c r="C3" s="4">
        <v>2002</v>
      </c>
      <c r="D3" s="4">
        <v>2015</v>
      </c>
      <c r="E3" s="4">
        <v>7</v>
      </c>
      <c r="F3" s="4">
        <v>126</v>
      </c>
      <c r="G3" s="4">
        <v>2000</v>
      </c>
      <c r="H3" s="4">
        <v>2021</v>
      </c>
      <c r="I3" s="4">
        <v>14</v>
      </c>
      <c r="J3" s="4">
        <v>262</v>
      </c>
    </row>
    <row r="4" spans="1:10" x14ac:dyDescent="0.3">
      <c r="A4" s="21"/>
      <c r="B4" s="4" t="s">
        <v>6</v>
      </c>
      <c r="C4" s="4">
        <v>2001</v>
      </c>
      <c r="D4" s="4">
        <v>2025</v>
      </c>
      <c r="E4" s="4">
        <v>25</v>
      </c>
      <c r="F4" s="4">
        <v>3649</v>
      </c>
      <c r="G4" s="4">
        <v>1997</v>
      </c>
      <c r="H4" s="4">
        <v>2025</v>
      </c>
      <c r="I4" s="4">
        <v>28</v>
      </c>
      <c r="J4" s="4">
        <v>5133</v>
      </c>
    </row>
    <row r="5" spans="1:10" x14ac:dyDescent="0.3">
      <c r="A5" s="21"/>
      <c r="B5" s="4" t="s">
        <v>7</v>
      </c>
      <c r="C5" s="4">
        <v>2002</v>
      </c>
      <c r="D5" s="4">
        <v>2002</v>
      </c>
      <c r="E5" s="4">
        <v>1</v>
      </c>
      <c r="F5" s="4">
        <v>10</v>
      </c>
      <c r="G5" s="4">
        <v>1997</v>
      </c>
      <c r="H5" s="4">
        <v>2022</v>
      </c>
      <c r="I5" s="4">
        <v>21</v>
      </c>
      <c r="J5" s="4">
        <v>76</v>
      </c>
    </row>
    <row r="6" spans="1:10" x14ac:dyDescent="0.3">
      <c r="A6" s="21"/>
      <c r="B6" s="4" t="s">
        <v>8</v>
      </c>
      <c r="C6" s="4">
        <v>2017</v>
      </c>
      <c r="D6" s="4">
        <v>2017</v>
      </c>
      <c r="E6" s="4">
        <v>1</v>
      </c>
      <c r="F6" s="4">
        <v>2</v>
      </c>
      <c r="G6" s="4">
        <v>1997</v>
      </c>
      <c r="H6" s="4">
        <v>2022</v>
      </c>
      <c r="I6" s="4">
        <v>17</v>
      </c>
      <c r="J6" s="4">
        <v>95</v>
      </c>
    </row>
    <row r="7" spans="1:10" x14ac:dyDescent="0.3">
      <c r="A7" s="23" t="s">
        <v>9</v>
      </c>
      <c r="B7" s="24"/>
      <c r="C7" s="5">
        <v>2001</v>
      </c>
      <c r="D7" s="5">
        <v>2025</v>
      </c>
      <c r="E7" s="5">
        <v>25</v>
      </c>
      <c r="F7" s="5">
        <v>3787</v>
      </c>
      <c r="G7" s="5">
        <v>1997</v>
      </c>
      <c r="H7" s="5">
        <v>2025</v>
      </c>
      <c r="I7" s="5">
        <v>28</v>
      </c>
      <c r="J7" s="5">
        <v>5566</v>
      </c>
    </row>
    <row r="8" spans="1:10" x14ac:dyDescent="0.3">
      <c r="A8" s="7" t="s">
        <v>10</v>
      </c>
      <c r="B8" s="4" t="s">
        <v>10</v>
      </c>
      <c r="C8" s="4"/>
      <c r="D8" s="4"/>
      <c r="E8" s="4"/>
      <c r="F8" s="4"/>
      <c r="G8" s="4">
        <v>2007</v>
      </c>
      <c r="H8" s="4">
        <v>2025</v>
      </c>
      <c r="I8" s="4">
        <v>9</v>
      </c>
      <c r="J8" s="4">
        <v>39</v>
      </c>
    </row>
    <row r="9" spans="1:10" x14ac:dyDescent="0.3">
      <c r="A9" s="23" t="s">
        <v>11</v>
      </c>
      <c r="B9" s="24"/>
      <c r="C9" s="5"/>
      <c r="D9" s="5"/>
      <c r="E9" s="5"/>
      <c r="F9" s="5"/>
      <c r="G9" s="5">
        <v>2007</v>
      </c>
      <c r="H9" s="5">
        <v>2025</v>
      </c>
      <c r="I9" s="5">
        <v>9</v>
      </c>
      <c r="J9" s="5">
        <v>39</v>
      </c>
    </row>
    <row r="10" spans="1:10" x14ac:dyDescent="0.3">
      <c r="A10" s="19" t="s">
        <v>16</v>
      </c>
      <c r="B10" s="20"/>
      <c r="C10" s="6">
        <v>2001</v>
      </c>
      <c r="D10" s="6">
        <v>2025</v>
      </c>
      <c r="E10" s="6">
        <v>25</v>
      </c>
      <c r="F10" s="6">
        <v>3787</v>
      </c>
      <c r="G10" s="6">
        <v>1997</v>
      </c>
      <c r="H10" s="6">
        <v>2025</v>
      </c>
      <c r="I10" s="6">
        <v>28</v>
      </c>
      <c r="J10" s="6">
        <f>J9+J7</f>
        <v>5605</v>
      </c>
    </row>
  </sheetData>
  <mergeCells count="6">
    <mergeCell ref="A10:B10"/>
    <mergeCell ref="C1:F1"/>
    <mergeCell ref="G1:J1"/>
    <mergeCell ref="A3:A6"/>
    <mergeCell ref="A7:B7"/>
    <mergeCell ref="A9:B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400BB-964C-4B63-8F11-089283BC1628}">
  <dimension ref="A1:F12"/>
  <sheetViews>
    <sheetView workbookViewId="0">
      <selection activeCell="A13" sqref="A13"/>
    </sheetView>
  </sheetViews>
  <sheetFormatPr defaultColWidth="11.5546875" defaultRowHeight="14.4" x14ac:dyDescent="0.3"/>
  <cols>
    <col min="1" max="1" width="16.109375" bestFit="1" customWidth="1"/>
    <col min="2" max="2" width="14.88671875" bestFit="1" customWidth="1"/>
    <col min="5" max="5" width="15.88671875" bestFit="1" customWidth="1"/>
    <col min="6" max="6" width="34.5546875" bestFit="1" customWidth="1"/>
  </cols>
  <sheetData>
    <row r="1" spans="1:6" x14ac:dyDescent="0.3">
      <c r="A1" s="2"/>
      <c r="B1" s="2"/>
      <c r="C1" s="22" t="s">
        <v>19</v>
      </c>
      <c r="D1" s="22"/>
      <c r="E1" s="22"/>
      <c r="F1" s="22"/>
    </row>
    <row r="2" spans="1:6" x14ac:dyDescent="0.3">
      <c r="A2" s="3" t="s">
        <v>2</v>
      </c>
      <c r="B2" s="3" t="s">
        <v>3</v>
      </c>
      <c r="C2" s="3" t="s">
        <v>12</v>
      </c>
      <c r="D2" s="3" t="s">
        <v>13</v>
      </c>
      <c r="E2" s="3" t="s">
        <v>14</v>
      </c>
      <c r="F2" s="3" t="s">
        <v>17</v>
      </c>
    </row>
    <row r="3" spans="1:6" x14ac:dyDescent="0.3">
      <c r="A3" s="21" t="s">
        <v>4</v>
      </c>
      <c r="B3" s="4" t="s">
        <v>5</v>
      </c>
      <c r="C3" s="4">
        <v>1997</v>
      </c>
      <c r="D3" s="4">
        <v>2025</v>
      </c>
      <c r="E3" s="4">
        <v>27</v>
      </c>
      <c r="F3" s="4">
        <v>13172</v>
      </c>
    </row>
    <row r="4" spans="1:6" x14ac:dyDescent="0.3">
      <c r="A4" s="21"/>
      <c r="B4" s="4" t="s">
        <v>6</v>
      </c>
      <c r="C4" s="4">
        <v>1996</v>
      </c>
      <c r="D4" s="4">
        <v>2025</v>
      </c>
      <c r="E4" s="4">
        <v>30</v>
      </c>
      <c r="F4" s="4">
        <v>61796</v>
      </c>
    </row>
    <row r="5" spans="1:6" x14ac:dyDescent="0.3">
      <c r="A5" s="21"/>
      <c r="B5" s="4" t="s">
        <v>7</v>
      </c>
      <c r="C5" s="4">
        <v>1996</v>
      </c>
      <c r="D5" s="4">
        <v>2025</v>
      </c>
      <c r="E5" s="4">
        <v>28</v>
      </c>
      <c r="F5" s="4">
        <v>10210</v>
      </c>
    </row>
    <row r="6" spans="1:6" x14ac:dyDescent="0.3">
      <c r="A6" s="21"/>
      <c r="B6" s="4" t="s">
        <v>8</v>
      </c>
      <c r="C6" s="4">
        <v>1996</v>
      </c>
      <c r="D6" s="4">
        <v>2025</v>
      </c>
      <c r="E6" s="4">
        <v>29</v>
      </c>
      <c r="F6" s="4">
        <v>10579</v>
      </c>
    </row>
    <row r="7" spans="1:6" x14ac:dyDescent="0.3">
      <c r="A7" s="23" t="s">
        <v>9</v>
      </c>
      <c r="B7" s="24"/>
      <c r="C7" s="5">
        <v>1996</v>
      </c>
      <c r="D7" s="5">
        <v>2025</v>
      </c>
      <c r="E7" s="5">
        <v>30</v>
      </c>
      <c r="F7" s="5">
        <v>95757</v>
      </c>
    </row>
    <row r="8" spans="1:6" x14ac:dyDescent="0.3">
      <c r="A8" s="7" t="s">
        <v>10</v>
      </c>
      <c r="B8" s="4" t="s">
        <v>10</v>
      </c>
      <c r="C8" s="4">
        <v>2004</v>
      </c>
      <c r="D8" s="4">
        <v>2025</v>
      </c>
      <c r="E8" s="4">
        <v>22</v>
      </c>
      <c r="F8" s="4">
        <v>9478</v>
      </c>
    </row>
    <row r="9" spans="1:6" x14ac:dyDescent="0.3">
      <c r="A9" s="23" t="s">
        <v>11</v>
      </c>
      <c r="B9" s="24"/>
      <c r="C9" s="5">
        <v>2004</v>
      </c>
      <c r="D9" s="5">
        <v>2025</v>
      </c>
      <c r="E9" s="5">
        <v>22</v>
      </c>
      <c r="F9" s="5">
        <v>9478</v>
      </c>
    </row>
    <row r="10" spans="1:6" x14ac:dyDescent="0.3">
      <c r="A10" s="25" t="s">
        <v>21</v>
      </c>
      <c r="B10" s="26"/>
      <c r="C10" s="4">
        <v>1997</v>
      </c>
      <c r="D10" s="4">
        <v>2025</v>
      </c>
      <c r="E10" s="4">
        <v>40</v>
      </c>
      <c r="F10" s="4">
        <v>1993</v>
      </c>
    </row>
    <row r="11" spans="1:6" x14ac:dyDescent="0.3">
      <c r="A11" s="23" t="s">
        <v>22</v>
      </c>
      <c r="B11" s="24"/>
      <c r="C11" s="5">
        <v>1997</v>
      </c>
      <c r="D11" s="5">
        <v>2025</v>
      </c>
      <c r="E11" s="5">
        <v>27</v>
      </c>
      <c r="F11" s="5">
        <v>1993</v>
      </c>
    </row>
    <row r="12" spans="1:6" x14ac:dyDescent="0.3">
      <c r="A12" s="19" t="s">
        <v>16</v>
      </c>
      <c r="B12" s="20"/>
      <c r="C12" s="6">
        <v>1997</v>
      </c>
      <c r="D12" s="6">
        <v>2025</v>
      </c>
      <c r="E12" s="6">
        <v>27</v>
      </c>
      <c r="F12" s="6">
        <f>F11+F9+F7</f>
        <v>107228</v>
      </c>
    </row>
  </sheetData>
  <mergeCells count="7">
    <mergeCell ref="C1:F1"/>
    <mergeCell ref="A3:A6"/>
    <mergeCell ref="A7:B7"/>
    <mergeCell ref="A9:B9"/>
    <mergeCell ref="A12:B12"/>
    <mergeCell ref="A11:B11"/>
    <mergeCell ref="A10:B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F1C13-EF65-42F7-9042-136BC25F1888}">
  <dimension ref="A1:E11"/>
  <sheetViews>
    <sheetView workbookViewId="0">
      <selection activeCell="B16" sqref="B16"/>
    </sheetView>
  </sheetViews>
  <sheetFormatPr defaultColWidth="11.5546875" defaultRowHeight="14.4" x14ac:dyDescent="0.3"/>
  <cols>
    <col min="1" max="1" width="20.88671875" customWidth="1"/>
    <col min="2" max="2" width="14.88671875" bestFit="1" customWidth="1"/>
    <col min="3" max="3" width="23.44140625" bestFit="1" customWidth="1"/>
    <col min="4" max="4" width="26.109375" bestFit="1" customWidth="1"/>
    <col min="5" max="5" width="38.109375" bestFit="1" customWidth="1"/>
  </cols>
  <sheetData>
    <row r="1" spans="1:5" x14ac:dyDescent="0.3">
      <c r="A1" s="3" t="s">
        <v>2</v>
      </c>
      <c r="B1" s="3" t="s">
        <v>3</v>
      </c>
      <c r="C1" s="3" t="s">
        <v>23</v>
      </c>
      <c r="D1" s="3" t="s">
        <v>24</v>
      </c>
      <c r="E1" s="3" t="s">
        <v>25</v>
      </c>
    </row>
    <row r="2" spans="1:5" x14ac:dyDescent="0.3">
      <c r="A2" s="21" t="s">
        <v>4</v>
      </c>
      <c r="B2" s="4" t="s">
        <v>5</v>
      </c>
      <c r="C2" s="4">
        <v>2255</v>
      </c>
      <c r="D2" s="4">
        <v>250</v>
      </c>
      <c r="E2" s="4">
        <v>193</v>
      </c>
    </row>
    <row r="3" spans="1:5" x14ac:dyDescent="0.3">
      <c r="A3" s="21"/>
      <c r="B3" s="4" t="s">
        <v>6</v>
      </c>
      <c r="C3" s="4">
        <v>3970</v>
      </c>
      <c r="D3" s="4">
        <v>511</v>
      </c>
      <c r="E3" s="4">
        <v>1007</v>
      </c>
    </row>
    <row r="4" spans="1:5" x14ac:dyDescent="0.3">
      <c r="A4" s="21"/>
      <c r="B4" s="4" t="s">
        <v>7</v>
      </c>
      <c r="C4" s="4">
        <v>4483</v>
      </c>
      <c r="D4" s="4">
        <v>427</v>
      </c>
      <c r="E4" s="4">
        <v>463</v>
      </c>
    </row>
    <row r="5" spans="1:5" x14ac:dyDescent="0.3">
      <c r="A5" s="21"/>
      <c r="B5" s="4" t="s">
        <v>8</v>
      </c>
      <c r="C5" s="4">
        <v>4846</v>
      </c>
      <c r="D5" s="4">
        <v>377</v>
      </c>
      <c r="E5" s="4">
        <v>303</v>
      </c>
    </row>
    <row r="6" spans="1:5" x14ac:dyDescent="0.3">
      <c r="A6" s="23" t="s">
        <v>9</v>
      </c>
      <c r="B6" s="24"/>
      <c r="C6" s="5">
        <v>15554</v>
      </c>
      <c r="D6" s="5">
        <v>1565</v>
      </c>
      <c r="E6" s="5">
        <v>1966</v>
      </c>
    </row>
    <row r="7" spans="1:5" x14ac:dyDescent="0.3">
      <c r="A7" s="7" t="s">
        <v>10</v>
      </c>
      <c r="B7" s="4" t="s">
        <v>10</v>
      </c>
      <c r="C7" s="4">
        <v>185</v>
      </c>
      <c r="D7" s="4">
        <v>37</v>
      </c>
      <c r="E7" s="4">
        <v>19</v>
      </c>
    </row>
    <row r="8" spans="1:5" x14ac:dyDescent="0.3">
      <c r="A8" s="23" t="s">
        <v>11</v>
      </c>
      <c r="B8" s="24"/>
      <c r="C8" s="5">
        <v>185</v>
      </c>
      <c r="D8" s="5">
        <v>37</v>
      </c>
      <c r="E8" s="5">
        <v>19</v>
      </c>
    </row>
    <row r="9" spans="1:5" x14ac:dyDescent="0.3">
      <c r="A9" s="25" t="s">
        <v>21</v>
      </c>
      <c r="B9" s="26"/>
      <c r="C9" s="4">
        <v>138</v>
      </c>
      <c r="D9" s="4">
        <v>17</v>
      </c>
      <c r="E9" s="4">
        <v>34</v>
      </c>
    </row>
    <row r="10" spans="1:5" x14ac:dyDescent="0.3">
      <c r="A10" s="23" t="s">
        <v>22</v>
      </c>
      <c r="B10" s="24"/>
      <c r="C10" s="5">
        <v>138</v>
      </c>
      <c r="D10" s="5">
        <v>17</v>
      </c>
      <c r="E10" s="5">
        <v>34</v>
      </c>
    </row>
    <row r="11" spans="1:5" x14ac:dyDescent="0.3">
      <c r="A11" s="19" t="s">
        <v>16</v>
      </c>
      <c r="B11" s="20"/>
      <c r="C11" s="6">
        <f>C10+C8+C6</f>
        <v>15877</v>
      </c>
      <c r="D11" s="6">
        <f t="shared" ref="D11:E11" si="0">D10+D8+D6</f>
        <v>1619</v>
      </c>
      <c r="E11" s="6">
        <f t="shared" si="0"/>
        <v>2019</v>
      </c>
    </row>
  </sheetData>
  <mergeCells count="6">
    <mergeCell ref="A11:B11"/>
    <mergeCell ref="A2:A5"/>
    <mergeCell ref="A6:B6"/>
    <mergeCell ref="A8:B8"/>
    <mergeCell ref="A9:B9"/>
    <mergeCell ref="A10:B1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18645-B3F9-4392-A4CD-97AD7C7B5C49}">
  <dimension ref="A1:K40"/>
  <sheetViews>
    <sheetView workbookViewId="0">
      <selection activeCell="M27" sqref="M27"/>
    </sheetView>
  </sheetViews>
  <sheetFormatPr defaultColWidth="11.44140625" defaultRowHeight="14.4" x14ac:dyDescent="0.3"/>
  <cols>
    <col min="1" max="1" width="21" style="1" bestFit="1" customWidth="1"/>
    <col min="2" max="2" width="15.6640625" style="1" bestFit="1" customWidth="1"/>
    <col min="3" max="5" width="11.44140625" style="1"/>
    <col min="6" max="6" width="17.5546875" style="1" bestFit="1" customWidth="1"/>
    <col min="7" max="16384" width="11.44140625" style="1"/>
  </cols>
  <sheetData>
    <row r="1" spans="1:11" x14ac:dyDescent="0.3">
      <c r="A1" s="8"/>
      <c r="B1" s="8"/>
      <c r="C1" s="32" t="s">
        <v>26</v>
      </c>
      <c r="D1" s="32"/>
      <c r="E1" s="32"/>
      <c r="F1" s="33" t="s">
        <v>27</v>
      </c>
      <c r="G1" s="32" t="s">
        <v>28</v>
      </c>
      <c r="H1" s="32"/>
      <c r="I1" s="32"/>
      <c r="J1" s="33" t="s">
        <v>29</v>
      </c>
      <c r="K1" s="35" t="s">
        <v>35</v>
      </c>
    </row>
    <row r="2" spans="1:11" x14ac:dyDescent="0.3">
      <c r="A2" s="9" t="s">
        <v>33</v>
      </c>
      <c r="B2" s="9" t="s">
        <v>34</v>
      </c>
      <c r="C2" s="9" t="s">
        <v>30</v>
      </c>
      <c r="D2" s="9" t="s">
        <v>31</v>
      </c>
      <c r="E2" s="9" t="s">
        <v>32</v>
      </c>
      <c r="F2" s="34"/>
      <c r="G2" s="9" t="s">
        <v>30</v>
      </c>
      <c r="H2" s="9" t="s">
        <v>31</v>
      </c>
      <c r="I2" s="9" t="s">
        <v>32</v>
      </c>
      <c r="J2" s="34"/>
      <c r="K2" s="36"/>
    </row>
    <row r="3" spans="1:11" x14ac:dyDescent="0.3">
      <c r="A3" s="37" t="s">
        <v>4</v>
      </c>
      <c r="B3" s="1">
        <v>2004</v>
      </c>
      <c r="F3" s="10">
        <f>SUM(C3:E3)</f>
        <v>0</v>
      </c>
      <c r="G3" s="1">
        <v>1</v>
      </c>
      <c r="J3" s="10">
        <f>SUM(G3:I3)</f>
        <v>1</v>
      </c>
      <c r="K3" s="13">
        <f>J3+F3</f>
        <v>1</v>
      </c>
    </row>
    <row r="4" spans="1:11" x14ac:dyDescent="0.3">
      <c r="A4" s="29"/>
      <c r="B4" s="1">
        <v>2006</v>
      </c>
      <c r="F4" s="10">
        <f t="shared" ref="F4:F23" si="0">SUM(C4:E4)</f>
        <v>0</v>
      </c>
      <c r="G4" s="1">
        <v>7</v>
      </c>
      <c r="J4" s="10">
        <f t="shared" ref="J4:J23" si="1">SUM(G4:I4)</f>
        <v>7</v>
      </c>
      <c r="K4" s="13">
        <f t="shared" ref="K4:K23" si="2">J4+F4</f>
        <v>7</v>
      </c>
    </row>
    <row r="5" spans="1:11" x14ac:dyDescent="0.3">
      <c r="A5" s="29"/>
      <c r="B5" s="1">
        <v>2007</v>
      </c>
      <c r="F5" s="10">
        <f t="shared" si="0"/>
        <v>0</v>
      </c>
      <c r="G5" s="1">
        <v>15</v>
      </c>
      <c r="J5" s="10">
        <f t="shared" si="1"/>
        <v>15</v>
      </c>
      <c r="K5" s="13">
        <f t="shared" si="2"/>
        <v>15</v>
      </c>
    </row>
    <row r="6" spans="1:11" x14ac:dyDescent="0.3">
      <c r="A6" s="29"/>
      <c r="B6" s="1">
        <v>2008</v>
      </c>
      <c r="F6" s="10">
        <f t="shared" si="0"/>
        <v>0</v>
      </c>
      <c r="G6" s="1">
        <v>4</v>
      </c>
      <c r="J6" s="10">
        <f t="shared" si="1"/>
        <v>4</v>
      </c>
      <c r="K6" s="13">
        <f t="shared" si="2"/>
        <v>4</v>
      </c>
    </row>
    <row r="7" spans="1:11" x14ac:dyDescent="0.3">
      <c r="A7" s="29"/>
      <c r="B7" s="1">
        <v>2009</v>
      </c>
      <c r="C7" s="1">
        <v>1</v>
      </c>
      <c r="F7" s="10">
        <f t="shared" si="0"/>
        <v>1</v>
      </c>
      <c r="G7" s="1">
        <v>6</v>
      </c>
      <c r="J7" s="10">
        <f t="shared" si="1"/>
        <v>6</v>
      </c>
      <c r="K7" s="13">
        <f t="shared" si="2"/>
        <v>7</v>
      </c>
    </row>
    <row r="8" spans="1:11" x14ac:dyDescent="0.3">
      <c r="A8" s="29"/>
      <c r="B8" s="1">
        <v>2010</v>
      </c>
      <c r="C8" s="1">
        <v>4</v>
      </c>
      <c r="D8" s="1">
        <v>6</v>
      </c>
      <c r="F8" s="10">
        <f t="shared" si="0"/>
        <v>10</v>
      </c>
      <c r="J8" s="10">
        <f t="shared" si="1"/>
        <v>0</v>
      </c>
      <c r="K8" s="13">
        <f t="shared" si="2"/>
        <v>10</v>
      </c>
    </row>
    <row r="9" spans="1:11" x14ac:dyDescent="0.3">
      <c r="A9" s="29"/>
      <c r="B9" s="1">
        <v>2011</v>
      </c>
      <c r="C9" s="1">
        <v>25</v>
      </c>
      <c r="D9" s="1">
        <v>26</v>
      </c>
      <c r="F9" s="10">
        <f t="shared" si="0"/>
        <v>51</v>
      </c>
      <c r="J9" s="10">
        <f t="shared" si="1"/>
        <v>0</v>
      </c>
      <c r="K9" s="13">
        <f t="shared" si="2"/>
        <v>51</v>
      </c>
    </row>
    <row r="10" spans="1:11" x14ac:dyDescent="0.3">
      <c r="A10" s="29"/>
      <c r="B10" s="1">
        <v>2012</v>
      </c>
      <c r="C10" s="1">
        <v>44</v>
      </c>
      <c r="D10" s="1">
        <v>44</v>
      </c>
      <c r="F10" s="10">
        <f t="shared" si="0"/>
        <v>88</v>
      </c>
      <c r="I10" s="1">
        <v>1</v>
      </c>
      <c r="J10" s="10">
        <f t="shared" si="1"/>
        <v>1</v>
      </c>
      <c r="K10" s="13">
        <f t="shared" si="2"/>
        <v>89</v>
      </c>
    </row>
    <row r="11" spans="1:11" x14ac:dyDescent="0.3">
      <c r="A11" s="29"/>
      <c r="B11" s="1">
        <v>2013</v>
      </c>
      <c r="C11" s="1">
        <v>120</v>
      </c>
      <c r="D11" s="1">
        <v>124</v>
      </c>
      <c r="F11" s="10">
        <f t="shared" si="0"/>
        <v>244</v>
      </c>
      <c r="J11" s="10">
        <f t="shared" si="1"/>
        <v>0</v>
      </c>
      <c r="K11" s="13">
        <f t="shared" si="2"/>
        <v>244</v>
      </c>
    </row>
    <row r="12" spans="1:11" x14ac:dyDescent="0.3">
      <c r="A12" s="29"/>
      <c r="B12" s="1">
        <v>2014</v>
      </c>
      <c r="C12" s="1">
        <v>108</v>
      </c>
      <c r="D12" s="1">
        <v>105</v>
      </c>
      <c r="F12" s="10">
        <f t="shared" si="0"/>
        <v>213</v>
      </c>
      <c r="G12" s="1">
        <v>6</v>
      </c>
      <c r="H12" s="1">
        <v>24</v>
      </c>
      <c r="I12" s="1">
        <v>1</v>
      </c>
      <c r="J12" s="10">
        <f t="shared" si="1"/>
        <v>31</v>
      </c>
      <c r="K12" s="13">
        <f t="shared" si="2"/>
        <v>244</v>
      </c>
    </row>
    <row r="13" spans="1:11" x14ac:dyDescent="0.3">
      <c r="A13" s="29"/>
      <c r="B13" s="1">
        <v>2015</v>
      </c>
      <c r="C13" s="1">
        <v>178</v>
      </c>
      <c r="D13" s="1">
        <v>161</v>
      </c>
      <c r="F13" s="10">
        <f t="shared" si="0"/>
        <v>339</v>
      </c>
      <c r="G13" s="1">
        <v>8</v>
      </c>
      <c r="H13" s="1">
        <v>12</v>
      </c>
      <c r="J13" s="10">
        <f t="shared" si="1"/>
        <v>20</v>
      </c>
      <c r="K13" s="13">
        <f t="shared" si="2"/>
        <v>359</v>
      </c>
    </row>
    <row r="14" spans="1:11" x14ac:dyDescent="0.3">
      <c r="A14" s="29"/>
      <c r="B14" s="1">
        <v>2016</v>
      </c>
      <c r="C14" s="1">
        <v>181</v>
      </c>
      <c r="D14" s="1">
        <v>194</v>
      </c>
      <c r="F14" s="10">
        <f t="shared" si="0"/>
        <v>375</v>
      </c>
      <c r="G14" s="1">
        <v>10</v>
      </c>
      <c r="H14" s="1">
        <v>9</v>
      </c>
      <c r="J14" s="10">
        <f t="shared" si="1"/>
        <v>19</v>
      </c>
      <c r="K14" s="13">
        <f t="shared" si="2"/>
        <v>394</v>
      </c>
    </row>
    <row r="15" spans="1:11" x14ac:dyDescent="0.3">
      <c r="A15" s="29"/>
      <c r="B15" s="1">
        <v>2017</v>
      </c>
      <c r="C15" s="1">
        <v>238</v>
      </c>
      <c r="D15" s="1">
        <v>227</v>
      </c>
      <c r="F15" s="10">
        <f t="shared" si="0"/>
        <v>465</v>
      </c>
      <c r="G15" s="1">
        <v>15</v>
      </c>
      <c r="H15" s="1">
        <v>6</v>
      </c>
      <c r="J15" s="10">
        <f t="shared" si="1"/>
        <v>21</v>
      </c>
      <c r="K15" s="13">
        <f t="shared" si="2"/>
        <v>486</v>
      </c>
    </row>
    <row r="16" spans="1:11" x14ac:dyDescent="0.3">
      <c r="A16" s="29"/>
      <c r="B16" s="1">
        <v>2018</v>
      </c>
      <c r="C16" s="1">
        <v>149</v>
      </c>
      <c r="D16" s="1">
        <v>155</v>
      </c>
      <c r="F16" s="10">
        <f t="shared" si="0"/>
        <v>304</v>
      </c>
      <c r="G16" s="1">
        <v>3</v>
      </c>
      <c r="H16" s="1">
        <v>1</v>
      </c>
      <c r="J16" s="10">
        <f t="shared" si="1"/>
        <v>4</v>
      </c>
      <c r="K16" s="13">
        <f t="shared" si="2"/>
        <v>308</v>
      </c>
    </row>
    <row r="17" spans="1:11" x14ac:dyDescent="0.3">
      <c r="A17" s="29"/>
      <c r="B17" s="1">
        <v>2019</v>
      </c>
      <c r="C17" s="1">
        <v>194</v>
      </c>
      <c r="D17" s="1">
        <v>151</v>
      </c>
      <c r="F17" s="10">
        <f t="shared" si="0"/>
        <v>345</v>
      </c>
      <c r="G17" s="1">
        <v>10</v>
      </c>
      <c r="H17" s="1">
        <v>5</v>
      </c>
      <c r="J17" s="10">
        <f t="shared" si="1"/>
        <v>15</v>
      </c>
      <c r="K17" s="13">
        <f t="shared" si="2"/>
        <v>360</v>
      </c>
    </row>
    <row r="18" spans="1:11" x14ac:dyDescent="0.3">
      <c r="A18" s="29"/>
      <c r="B18" s="1">
        <v>2020</v>
      </c>
      <c r="C18" s="1">
        <v>180</v>
      </c>
      <c r="D18" s="1">
        <v>188</v>
      </c>
      <c r="F18" s="10">
        <f t="shared" si="0"/>
        <v>368</v>
      </c>
      <c r="G18" s="1">
        <v>1</v>
      </c>
      <c r="H18" s="1">
        <v>9</v>
      </c>
      <c r="J18" s="10">
        <f t="shared" si="1"/>
        <v>10</v>
      </c>
      <c r="K18" s="13">
        <f t="shared" si="2"/>
        <v>378</v>
      </c>
    </row>
    <row r="19" spans="1:11" x14ac:dyDescent="0.3">
      <c r="A19" s="29"/>
      <c r="B19" s="1">
        <v>2021</v>
      </c>
      <c r="C19" s="1">
        <v>106</v>
      </c>
      <c r="D19" s="1">
        <v>102</v>
      </c>
      <c r="F19" s="10">
        <f t="shared" si="0"/>
        <v>208</v>
      </c>
      <c r="G19" s="1">
        <v>11</v>
      </c>
      <c r="H19" s="1">
        <v>4</v>
      </c>
      <c r="J19" s="10">
        <f t="shared" si="1"/>
        <v>15</v>
      </c>
      <c r="K19" s="13">
        <f t="shared" si="2"/>
        <v>223</v>
      </c>
    </row>
    <row r="20" spans="1:11" x14ac:dyDescent="0.3">
      <c r="A20" s="29"/>
      <c r="B20" s="1">
        <v>2022</v>
      </c>
      <c r="C20" s="1">
        <v>72</v>
      </c>
      <c r="D20" s="1">
        <v>68</v>
      </c>
      <c r="F20" s="10">
        <f t="shared" si="0"/>
        <v>140</v>
      </c>
      <c r="G20" s="1">
        <v>3</v>
      </c>
      <c r="H20" s="1">
        <v>1</v>
      </c>
      <c r="J20" s="10">
        <f t="shared" si="1"/>
        <v>4</v>
      </c>
      <c r="K20" s="13">
        <f t="shared" si="2"/>
        <v>144</v>
      </c>
    </row>
    <row r="21" spans="1:11" x14ac:dyDescent="0.3">
      <c r="A21" s="29"/>
      <c r="B21" s="1">
        <v>2023</v>
      </c>
      <c r="C21" s="1">
        <v>180</v>
      </c>
      <c r="D21" s="1">
        <v>178</v>
      </c>
      <c r="F21" s="10">
        <f t="shared" si="0"/>
        <v>358</v>
      </c>
      <c r="G21" s="1">
        <v>5</v>
      </c>
      <c r="H21" s="1">
        <v>1</v>
      </c>
      <c r="J21" s="10">
        <f t="shared" si="1"/>
        <v>6</v>
      </c>
      <c r="K21" s="13">
        <f t="shared" si="2"/>
        <v>364</v>
      </c>
    </row>
    <row r="22" spans="1:11" x14ac:dyDescent="0.3">
      <c r="A22" s="29"/>
      <c r="B22" s="1">
        <v>2024</v>
      </c>
      <c r="C22" s="1">
        <v>66</v>
      </c>
      <c r="D22" s="1">
        <v>59</v>
      </c>
      <c r="F22" s="10">
        <f t="shared" si="0"/>
        <v>125</v>
      </c>
      <c r="G22" s="1">
        <v>28</v>
      </c>
      <c r="H22" s="1">
        <v>24</v>
      </c>
      <c r="J22" s="10">
        <f t="shared" si="1"/>
        <v>52</v>
      </c>
      <c r="K22" s="13">
        <f t="shared" si="2"/>
        <v>177</v>
      </c>
    </row>
    <row r="23" spans="1:11" x14ac:dyDescent="0.3">
      <c r="A23" s="30"/>
      <c r="B23" s="1">
        <v>2025</v>
      </c>
      <c r="C23" s="1">
        <v>102</v>
      </c>
      <c r="D23" s="1">
        <v>101</v>
      </c>
      <c r="E23" s="1">
        <v>45</v>
      </c>
      <c r="F23" s="10">
        <f t="shared" si="0"/>
        <v>248</v>
      </c>
      <c r="G23" s="1">
        <v>3</v>
      </c>
      <c r="H23" s="1">
        <v>4</v>
      </c>
      <c r="J23" s="10">
        <f t="shared" si="1"/>
        <v>7</v>
      </c>
      <c r="K23" s="13">
        <f t="shared" si="2"/>
        <v>255</v>
      </c>
    </row>
    <row r="24" spans="1:11" x14ac:dyDescent="0.3">
      <c r="A24" s="27" t="s">
        <v>9</v>
      </c>
      <c r="B24" s="27"/>
      <c r="C24" s="15">
        <f>SUM(C3:C23)</f>
        <v>1948</v>
      </c>
      <c r="D24" s="15">
        <f t="shared" ref="D24:K24" si="3">SUM(D3:D23)</f>
        <v>1889</v>
      </c>
      <c r="E24" s="15">
        <f t="shared" si="3"/>
        <v>45</v>
      </c>
      <c r="F24" s="15">
        <f t="shared" si="3"/>
        <v>3882</v>
      </c>
      <c r="G24" s="15">
        <f t="shared" si="3"/>
        <v>136</v>
      </c>
      <c r="H24" s="15">
        <f t="shared" si="3"/>
        <v>100</v>
      </c>
      <c r="I24" s="15">
        <f t="shared" si="3"/>
        <v>2</v>
      </c>
      <c r="J24" s="15">
        <f t="shared" si="3"/>
        <v>238</v>
      </c>
      <c r="K24" s="15">
        <f t="shared" si="3"/>
        <v>4120</v>
      </c>
    </row>
    <row r="25" spans="1:11" x14ac:dyDescent="0.3">
      <c r="A25" s="28" t="s">
        <v>10</v>
      </c>
      <c r="B25" s="1">
        <v>2004</v>
      </c>
      <c r="F25" s="10">
        <f>SUM(C25:E25)</f>
        <v>0</v>
      </c>
      <c r="G25" s="1">
        <v>1</v>
      </c>
      <c r="J25" s="10">
        <f>SUM(G25:I25)</f>
        <v>1</v>
      </c>
      <c r="K25" s="13">
        <f>F25+J25</f>
        <v>1</v>
      </c>
    </row>
    <row r="26" spans="1:11" x14ac:dyDescent="0.3">
      <c r="A26" s="29"/>
      <c r="B26" s="1">
        <v>2005</v>
      </c>
      <c r="F26" s="10">
        <f t="shared" ref="F26:F38" si="4">SUM(C26:E26)</f>
        <v>0</v>
      </c>
      <c r="G26" s="1">
        <v>2</v>
      </c>
      <c r="J26" s="10">
        <f t="shared" ref="J26:J38" si="5">SUM(G26:I26)</f>
        <v>2</v>
      </c>
      <c r="K26" s="13">
        <f t="shared" ref="K26:K38" si="6">F26+J26</f>
        <v>2</v>
      </c>
    </row>
    <row r="27" spans="1:11" x14ac:dyDescent="0.3">
      <c r="A27" s="29"/>
      <c r="B27" s="1">
        <v>2010</v>
      </c>
      <c r="C27" s="1">
        <v>2</v>
      </c>
      <c r="D27" s="1">
        <v>2</v>
      </c>
      <c r="F27" s="10">
        <f t="shared" si="4"/>
        <v>4</v>
      </c>
      <c r="J27" s="10">
        <f t="shared" si="5"/>
        <v>0</v>
      </c>
      <c r="K27" s="13">
        <f t="shared" si="6"/>
        <v>4</v>
      </c>
    </row>
    <row r="28" spans="1:11" x14ac:dyDescent="0.3">
      <c r="A28" s="29"/>
      <c r="B28" s="1">
        <v>2011</v>
      </c>
      <c r="C28" s="1">
        <v>5</v>
      </c>
      <c r="D28" s="1">
        <v>5</v>
      </c>
      <c r="F28" s="10">
        <f t="shared" si="4"/>
        <v>10</v>
      </c>
      <c r="J28" s="10">
        <f t="shared" si="5"/>
        <v>0</v>
      </c>
      <c r="K28" s="13">
        <f t="shared" si="6"/>
        <v>10</v>
      </c>
    </row>
    <row r="29" spans="1:11" x14ac:dyDescent="0.3">
      <c r="A29" s="29"/>
      <c r="B29" s="1">
        <v>2012</v>
      </c>
      <c r="C29" s="1">
        <v>40</v>
      </c>
      <c r="D29" s="1">
        <v>40</v>
      </c>
      <c r="F29" s="10">
        <f t="shared" si="4"/>
        <v>80</v>
      </c>
      <c r="J29" s="10">
        <f t="shared" si="5"/>
        <v>0</v>
      </c>
      <c r="K29" s="13">
        <f t="shared" si="6"/>
        <v>80</v>
      </c>
    </row>
    <row r="30" spans="1:11" x14ac:dyDescent="0.3">
      <c r="A30" s="29"/>
      <c r="B30" s="1">
        <v>2013</v>
      </c>
      <c r="C30" s="1">
        <v>19</v>
      </c>
      <c r="D30" s="1">
        <v>17</v>
      </c>
      <c r="F30" s="10">
        <f t="shared" si="4"/>
        <v>36</v>
      </c>
      <c r="J30" s="10">
        <f t="shared" si="5"/>
        <v>0</v>
      </c>
      <c r="K30" s="13">
        <f t="shared" si="6"/>
        <v>36</v>
      </c>
    </row>
    <row r="31" spans="1:11" x14ac:dyDescent="0.3">
      <c r="A31" s="29"/>
      <c r="B31" s="1">
        <v>2014</v>
      </c>
      <c r="C31" s="1">
        <v>21</v>
      </c>
      <c r="D31" s="1">
        <v>19</v>
      </c>
      <c r="F31" s="10">
        <f t="shared" si="4"/>
        <v>40</v>
      </c>
      <c r="J31" s="10">
        <f t="shared" si="5"/>
        <v>0</v>
      </c>
      <c r="K31" s="13">
        <f t="shared" si="6"/>
        <v>40</v>
      </c>
    </row>
    <row r="32" spans="1:11" x14ac:dyDescent="0.3">
      <c r="A32" s="29"/>
      <c r="B32" s="1">
        <v>2015</v>
      </c>
      <c r="C32" s="1">
        <v>10</v>
      </c>
      <c r="D32" s="1">
        <v>10</v>
      </c>
      <c r="F32" s="10">
        <f t="shared" si="4"/>
        <v>20</v>
      </c>
      <c r="J32" s="10">
        <f t="shared" si="5"/>
        <v>0</v>
      </c>
      <c r="K32" s="13">
        <f t="shared" si="6"/>
        <v>20</v>
      </c>
    </row>
    <row r="33" spans="1:11" x14ac:dyDescent="0.3">
      <c r="A33" s="29"/>
      <c r="B33" s="1">
        <v>2018</v>
      </c>
      <c r="C33" s="1">
        <v>20</v>
      </c>
      <c r="D33" s="1">
        <v>20</v>
      </c>
      <c r="F33" s="10">
        <f t="shared" si="4"/>
        <v>40</v>
      </c>
      <c r="J33" s="10">
        <f t="shared" si="5"/>
        <v>0</v>
      </c>
      <c r="K33" s="13">
        <f t="shared" si="6"/>
        <v>40</v>
      </c>
    </row>
    <row r="34" spans="1:11" x14ac:dyDescent="0.3">
      <c r="A34" s="29"/>
      <c r="B34" s="1">
        <v>2019</v>
      </c>
      <c r="C34" s="1">
        <v>21</v>
      </c>
      <c r="D34" s="1">
        <v>19</v>
      </c>
      <c r="F34" s="10">
        <f t="shared" si="4"/>
        <v>40</v>
      </c>
      <c r="J34" s="10">
        <f t="shared" si="5"/>
        <v>0</v>
      </c>
      <c r="K34" s="13">
        <f t="shared" si="6"/>
        <v>40</v>
      </c>
    </row>
    <row r="35" spans="1:11" x14ac:dyDescent="0.3">
      <c r="A35" s="30"/>
      <c r="B35" s="1">
        <v>2022</v>
      </c>
      <c r="C35" s="1">
        <v>19</v>
      </c>
      <c r="D35" s="1">
        <v>21</v>
      </c>
      <c r="F35" s="10">
        <f t="shared" si="4"/>
        <v>40</v>
      </c>
      <c r="J35" s="10">
        <f t="shared" si="5"/>
        <v>0</v>
      </c>
      <c r="K35" s="13">
        <f t="shared" si="6"/>
        <v>40</v>
      </c>
    </row>
    <row r="36" spans="1:11" x14ac:dyDescent="0.3">
      <c r="A36" s="27" t="s">
        <v>11</v>
      </c>
      <c r="B36" s="27"/>
      <c r="C36" s="15">
        <f>SUM(C25:C35)</f>
        <v>157</v>
      </c>
      <c r="D36" s="15">
        <f t="shared" ref="D36:K36" si="7">SUM(D25:D35)</f>
        <v>153</v>
      </c>
      <c r="E36" s="15">
        <f t="shared" si="7"/>
        <v>0</v>
      </c>
      <c r="F36" s="15">
        <f t="shared" si="7"/>
        <v>310</v>
      </c>
      <c r="G36" s="15">
        <f t="shared" si="7"/>
        <v>3</v>
      </c>
      <c r="H36" s="15">
        <f t="shared" si="7"/>
        <v>0</v>
      </c>
      <c r="I36" s="15">
        <f t="shared" si="7"/>
        <v>0</v>
      </c>
      <c r="J36" s="15">
        <f t="shared" si="7"/>
        <v>3</v>
      </c>
      <c r="K36" s="15">
        <f t="shared" si="7"/>
        <v>313</v>
      </c>
    </row>
    <row r="37" spans="1:11" x14ac:dyDescent="0.3">
      <c r="A37" s="28" t="s">
        <v>21</v>
      </c>
      <c r="B37" s="1">
        <v>2013</v>
      </c>
      <c r="C37" s="1">
        <v>6</v>
      </c>
      <c r="D37" s="1">
        <v>6</v>
      </c>
      <c r="F37" s="10">
        <f t="shared" si="4"/>
        <v>12</v>
      </c>
      <c r="J37" s="10">
        <f t="shared" si="5"/>
        <v>0</v>
      </c>
      <c r="K37" s="13">
        <f t="shared" si="6"/>
        <v>12</v>
      </c>
    </row>
    <row r="38" spans="1:11" x14ac:dyDescent="0.3">
      <c r="A38" s="30"/>
      <c r="B38" s="1">
        <v>2021</v>
      </c>
      <c r="C38" s="1">
        <v>1</v>
      </c>
      <c r="F38" s="10">
        <f t="shared" si="4"/>
        <v>1</v>
      </c>
      <c r="J38" s="10">
        <f t="shared" si="5"/>
        <v>0</v>
      </c>
      <c r="K38" s="13">
        <f t="shared" si="6"/>
        <v>1</v>
      </c>
    </row>
    <row r="39" spans="1:11" x14ac:dyDescent="0.3">
      <c r="A39" s="27" t="s">
        <v>22</v>
      </c>
      <c r="B39" s="27"/>
      <c r="C39" s="15">
        <f>SUM(C37:C38)</f>
        <v>7</v>
      </c>
      <c r="D39" s="15">
        <f t="shared" ref="D39:K39" si="8">SUM(D37:D38)</f>
        <v>6</v>
      </c>
      <c r="E39" s="15">
        <f t="shared" si="8"/>
        <v>0</v>
      </c>
      <c r="F39" s="15">
        <f t="shared" si="8"/>
        <v>13</v>
      </c>
      <c r="G39" s="15">
        <f t="shared" si="8"/>
        <v>0</v>
      </c>
      <c r="H39" s="15">
        <f t="shared" si="8"/>
        <v>0</v>
      </c>
      <c r="I39" s="15">
        <f t="shared" si="8"/>
        <v>0</v>
      </c>
      <c r="J39" s="15">
        <f t="shared" si="8"/>
        <v>0</v>
      </c>
      <c r="K39" s="15">
        <f t="shared" si="8"/>
        <v>13</v>
      </c>
    </row>
    <row r="40" spans="1:11" x14ac:dyDescent="0.3">
      <c r="A40" s="31" t="s">
        <v>35</v>
      </c>
      <c r="B40" s="31"/>
      <c r="C40" s="12">
        <f>C39+C36+C24</f>
        <v>2112</v>
      </c>
      <c r="D40" s="12">
        <f t="shared" ref="D40:K40" si="9">D39+D36+D24</f>
        <v>2048</v>
      </c>
      <c r="E40" s="12">
        <f t="shared" si="9"/>
        <v>45</v>
      </c>
      <c r="F40" s="12">
        <f t="shared" si="9"/>
        <v>4205</v>
      </c>
      <c r="G40" s="12">
        <f t="shared" si="9"/>
        <v>139</v>
      </c>
      <c r="H40" s="12">
        <f t="shared" si="9"/>
        <v>100</v>
      </c>
      <c r="I40" s="12">
        <f t="shared" si="9"/>
        <v>2</v>
      </c>
      <c r="J40" s="12">
        <f t="shared" si="9"/>
        <v>241</v>
      </c>
      <c r="K40" s="12">
        <f t="shared" si="9"/>
        <v>4446</v>
      </c>
    </row>
  </sheetData>
  <mergeCells count="12">
    <mergeCell ref="K1:K2"/>
    <mergeCell ref="A3:A23"/>
    <mergeCell ref="A40:B40"/>
    <mergeCell ref="C1:E1"/>
    <mergeCell ref="F1:F2"/>
    <mergeCell ref="G1:I1"/>
    <mergeCell ref="J1:J2"/>
    <mergeCell ref="A24:B24"/>
    <mergeCell ref="A25:A35"/>
    <mergeCell ref="A36:B36"/>
    <mergeCell ref="A37:A38"/>
    <mergeCell ref="A39:B3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5A79F-F0DB-40EB-A531-51A6B5516A85}">
  <dimension ref="A1:K43"/>
  <sheetViews>
    <sheetView workbookViewId="0">
      <selection activeCell="C17" sqref="C17"/>
    </sheetView>
  </sheetViews>
  <sheetFormatPr defaultColWidth="11.5546875" defaultRowHeight="14.4" x14ac:dyDescent="0.3"/>
  <cols>
    <col min="1" max="1" width="16.109375" bestFit="1" customWidth="1"/>
    <col min="2" max="2" width="15.6640625" bestFit="1" customWidth="1"/>
    <col min="6" max="6" width="17.5546875" bestFit="1" customWidth="1"/>
  </cols>
  <sheetData>
    <row r="1" spans="1:11" x14ac:dyDescent="0.3">
      <c r="A1" s="8"/>
      <c r="B1" s="8"/>
      <c r="C1" s="32" t="s">
        <v>26</v>
      </c>
      <c r="D1" s="32"/>
      <c r="E1" s="32"/>
      <c r="F1" s="33" t="s">
        <v>27</v>
      </c>
      <c r="G1" s="32" t="s">
        <v>28</v>
      </c>
      <c r="H1" s="32"/>
      <c r="I1" s="32"/>
      <c r="J1" s="33" t="s">
        <v>29</v>
      </c>
      <c r="K1" s="35" t="s">
        <v>35</v>
      </c>
    </row>
    <row r="2" spans="1:11" x14ac:dyDescent="0.3">
      <c r="A2" s="9" t="s">
        <v>33</v>
      </c>
      <c r="B2" s="9" t="s">
        <v>34</v>
      </c>
      <c r="C2" s="9" t="s">
        <v>30</v>
      </c>
      <c r="D2" s="9" t="s">
        <v>31</v>
      </c>
      <c r="E2" s="9" t="s">
        <v>32</v>
      </c>
      <c r="F2" s="34"/>
      <c r="G2" s="9" t="s">
        <v>30</v>
      </c>
      <c r="H2" s="9" t="s">
        <v>31</v>
      </c>
      <c r="I2" s="9" t="s">
        <v>32</v>
      </c>
      <c r="J2" s="34"/>
      <c r="K2" s="36"/>
    </row>
    <row r="3" spans="1:11" s="16" customFormat="1" x14ac:dyDescent="0.3">
      <c r="A3" s="37" t="s">
        <v>4</v>
      </c>
      <c r="B3" s="1">
        <v>1997</v>
      </c>
      <c r="C3"/>
      <c r="D3"/>
      <c r="E3"/>
      <c r="F3" s="10">
        <f>SUM(C3:E3)</f>
        <v>0</v>
      </c>
      <c r="G3">
        <v>2</v>
      </c>
      <c r="H3">
        <v>2</v>
      </c>
      <c r="I3"/>
      <c r="J3" s="10">
        <f t="shared" ref="J3:J11" si="0">SUM(G3:I3)</f>
        <v>4</v>
      </c>
      <c r="K3" s="13">
        <f t="shared" ref="K3:K11" si="1">J3+F3</f>
        <v>4</v>
      </c>
    </row>
    <row r="4" spans="1:11" s="16" customFormat="1" x14ac:dyDescent="0.3">
      <c r="A4" s="38"/>
      <c r="B4" s="1">
        <v>1998</v>
      </c>
      <c r="C4"/>
      <c r="D4">
        <v>1</v>
      </c>
      <c r="E4"/>
      <c r="F4" s="10">
        <f t="shared" ref="F4:F25" si="2">SUM(C4:E4)</f>
        <v>1</v>
      </c>
      <c r="G4">
        <v>2</v>
      </c>
      <c r="H4">
        <v>1</v>
      </c>
      <c r="I4"/>
      <c r="J4" s="10">
        <f t="shared" si="0"/>
        <v>3</v>
      </c>
      <c r="K4" s="13">
        <f t="shared" si="1"/>
        <v>4</v>
      </c>
    </row>
    <row r="5" spans="1:11" s="16" customFormat="1" x14ac:dyDescent="0.3">
      <c r="A5" s="38"/>
      <c r="B5" s="1">
        <v>1999</v>
      </c>
      <c r="C5"/>
      <c r="D5">
        <v>20</v>
      </c>
      <c r="E5"/>
      <c r="F5" s="10">
        <f t="shared" si="2"/>
        <v>20</v>
      </c>
      <c r="G5">
        <v>1</v>
      </c>
      <c r="H5">
        <v>5</v>
      </c>
      <c r="I5"/>
      <c r="J5" s="10">
        <f t="shared" si="0"/>
        <v>6</v>
      </c>
      <c r="K5" s="13">
        <f t="shared" si="1"/>
        <v>26</v>
      </c>
    </row>
    <row r="6" spans="1:11" s="16" customFormat="1" x14ac:dyDescent="0.3">
      <c r="A6" s="38"/>
      <c r="B6" s="1">
        <v>2000</v>
      </c>
      <c r="C6"/>
      <c r="D6">
        <v>25</v>
      </c>
      <c r="E6"/>
      <c r="F6" s="10">
        <f t="shared" si="2"/>
        <v>25</v>
      </c>
      <c r="G6">
        <v>8</v>
      </c>
      <c r="H6">
        <v>8</v>
      </c>
      <c r="I6"/>
      <c r="J6" s="10">
        <f t="shared" si="0"/>
        <v>16</v>
      </c>
      <c r="K6" s="13">
        <f t="shared" si="1"/>
        <v>41</v>
      </c>
    </row>
    <row r="7" spans="1:11" s="16" customFormat="1" x14ac:dyDescent="0.3">
      <c r="A7" s="38"/>
      <c r="B7" s="1">
        <v>2001</v>
      </c>
      <c r="C7">
        <v>28</v>
      </c>
      <c r="D7">
        <v>34</v>
      </c>
      <c r="E7"/>
      <c r="F7" s="10">
        <f t="shared" si="2"/>
        <v>62</v>
      </c>
      <c r="G7">
        <v>2</v>
      </c>
      <c r="H7">
        <v>10</v>
      </c>
      <c r="I7"/>
      <c r="J7" s="10">
        <f t="shared" si="0"/>
        <v>12</v>
      </c>
      <c r="K7" s="13">
        <f t="shared" si="1"/>
        <v>74</v>
      </c>
    </row>
    <row r="8" spans="1:11" s="16" customFormat="1" x14ac:dyDescent="0.3">
      <c r="A8" s="38"/>
      <c r="B8" s="1">
        <v>2002</v>
      </c>
      <c r="C8">
        <v>58</v>
      </c>
      <c r="D8">
        <v>70</v>
      </c>
      <c r="E8"/>
      <c r="F8" s="10">
        <f t="shared" si="2"/>
        <v>128</v>
      </c>
      <c r="G8">
        <v>31</v>
      </c>
      <c r="H8">
        <v>2</v>
      </c>
      <c r="I8"/>
      <c r="J8" s="10">
        <f t="shared" si="0"/>
        <v>33</v>
      </c>
      <c r="K8" s="13">
        <f t="shared" si="1"/>
        <v>161</v>
      </c>
    </row>
    <row r="9" spans="1:11" s="16" customFormat="1" x14ac:dyDescent="0.3">
      <c r="A9" s="38"/>
      <c r="B9" s="1">
        <v>2003</v>
      </c>
      <c r="C9">
        <v>78</v>
      </c>
      <c r="D9">
        <v>33</v>
      </c>
      <c r="E9"/>
      <c r="F9" s="10">
        <f t="shared" si="2"/>
        <v>111</v>
      </c>
      <c r="G9">
        <v>22</v>
      </c>
      <c r="H9"/>
      <c r="I9"/>
      <c r="J9" s="10">
        <f t="shared" si="0"/>
        <v>22</v>
      </c>
      <c r="K9" s="13">
        <f t="shared" si="1"/>
        <v>133</v>
      </c>
    </row>
    <row r="10" spans="1:11" x14ac:dyDescent="0.3">
      <c r="A10" s="38"/>
      <c r="B10" s="1">
        <v>2004</v>
      </c>
      <c r="C10">
        <v>28</v>
      </c>
      <c r="D10">
        <v>63</v>
      </c>
      <c r="F10" s="10">
        <f t="shared" si="2"/>
        <v>91</v>
      </c>
      <c r="G10">
        <v>17</v>
      </c>
      <c r="H10">
        <v>3</v>
      </c>
      <c r="J10" s="10">
        <f t="shared" si="0"/>
        <v>20</v>
      </c>
      <c r="K10" s="13">
        <f t="shared" si="1"/>
        <v>111</v>
      </c>
    </row>
    <row r="11" spans="1:11" x14ac:dyDescent="0.3">
      <c r="A11" s="38"/>
      <c r="B11" s="1">
        <v>2005</v>
      </c>
      <c r="C11">
        <v>52</v>
      </c>
      <c r="D11">
        <v>56</v>
      </c>
      <c r="F11" s="10">
        <f t="shared" si="2"/>
        <v>108</v>
      </c>
      <c r="G11">
        <v>6</v>
      </c>
      <c r="H11">
        <v>19</v>
      </c>
      <c r="I11">
        <v>1</v>
      </c>
      <c r="J11" s="10">
        <f t="shared" si="0"/>
        <v>26</v>
      </c>
      <c r="K11" s="13">
        <f t="shared" si="1"/>
        <v>134</v>
      </c>
    </row>
    <row r="12" spans="1:11" x14ac:dyDescent="0.3">
      <c r="A12" s="38"/>
      <c r="B12" s="1">
        <v>2006</v>
      </c>
      <c r="C12">
        <v>73</v>
      </c>
      <c r="D12">
        <v>80</v>
      </c>
      <c r="F12" s="10">
        <f t="shared" si="2"/>
        <v>153</v>
      </c>
      <c r="G12">
        <v>19</v>
      </c>
      <c r="H12">
        <v>41</v>
      </c>
      <c r="I12">
        <v>20</v>
      </c>
      <c r="J12" s="10">
        <f t="shared" ref="J12:J25" si="3">SUM(G12:I12)</f>
        <v>80</v>
      </c>
      <c r="K12" s="13">
        <f t="shared" ref="K12:K25" si="4">J12+F12</f>
        <v>233</v>
      </c>
    </row>
    <row r="13" spans="1:11" x14ac:dyDescent="0.3">
      <c r="A13" s="38"/>
      <c r="B13" s="1">
        <v>2007</v>
      </c>
      <c r="C13">
        <v>107</v>
      </c>
      <c r="D13">
        <v>82</v>
      </c>
      <c r="F13" s="10">
        <f t="shared" si="2"/>
        <v>189</v>
      </c>
      <c r="G13">
        <v>13</v>
      </c>
      <c r="H13">
        <v>27</v>
      </c>
      <c r="I13">
        <v>16</v>
      </c>
      <c r="J13" s="10">
        <f t="shared" si="3"/>
        <v>56</v>
      </c>
      <c r="K13" s="13">
        <f t="shared" si="4"/>
        <v>245</v>
      </c>
    </row>
    <row r="14" spans="1:11" x14ac:dyDescent="0.3">
      <c r="A14" s="38"/>
      <c r="B14" s="1">
        <v>2008</v>
      </c>
      <c r="C14">
        <v>15</v>
      </c>
      <c r="D14">
        <v>15</v>
      </c>
      <c r="F14" s="10">
        <f t="shared" si="2"/>
        <v>30</v>
      </c>
      <c r="G14">
        <v>5</v>
      </c>
      <c r="H14">
        <v>7</v>
      </c>
      <c r="I14">
        <v>9</v>
      </c>
      <c r="J14" s="10">
        <f t="shared" si="3"/>
        <v>21</v>
      </c>
      <c r="K14" s="13">
        <f t="shared" si="4"/>
        <v>51</v>
      </c>
    </row>
    <row r="15" spans="1:11" x14ac:dyDescent="0.3">
      <c r="A15" s="38"/>
      <c r="B15" s="1">
        <v>2009</v>
      </c>
      <c r="C15">
        <v>124</v>
      </c>
      <c r="D15">
        <v>122</v>
      </c>
      <c r="F15" s="10">
        <f t="shared" si="2"/>
        <v>246</v>
      </c>
      <c r="G15">
        <v>8</v>
      </c>
      <c r="H15">
        <v>12</v>
      </c>
      <c r="I15">
        <v>9</v>
      </c>
      <c r="J15" s="10">
        <f t="shared" si="3"/>
        <v>29</v>
      </c>
      <c r="K15" s="13">
        <f t="shared" si="4"/>
        <v>275</v>
      </c>
    </row>
    <row r="16" spans="1:11" x14ac:dyDescent="0.3">
      <c r="A16" s="38"/>
      <c r="B16" s="1">
        <v>2010</v>
      </c>
      <c r="C16">
        <v>146</v>
      </c>
      <c r="D16">
        <v>163</v>
      </c>
      <c r="F16" s="10">
        <f t="shared" si="2"/>
        <v>309</v>
      </c>
      <c r="I16">
        <v>6</v>
      </c>
      <c r="J16" s="10">
        <f t="shared" si="3"/>
        <v>6</v>
      </c>
      <c r="K16" s="13">
        <f t="shared" si="4"/>
        <v>315</v>
      </c>
    </row>
    <row r="17" spans="1:11" x14ac:dyDescent="0.3">
      <c r="A17" s="38"/>
      <c r="B17" s="1">
        <v>2011</v>
      </c>
      <c r="C17">
        <v>94</v>
      </c>
      <c r="D17">
        <v>86</v>
      </c>
      <c r="F17" s="10">
        <f t="shared" si="2"/>
        <v>180</v>
      </c>
      <c r="I17">
        <v>1</v>
      </c>
      <c r="J17" s="10">
        <f t="shared" si="3"/>
        <v>1</v>
      </c>
      <c r="K17" s="13">
        <f t="shared" si="4"/>
        <v>181</v>
      </c>
    </row>
    <row r="18" spans="1:11" x14ac:dyDescent="0.3">
      <c r="A18" s="38"/>
      <c r="B18" s="1">
        <v>2012</v>
      </c>
      <c r="C18">
        <v>90</v>
      </c>
      <c r="D18">
        <v>100</v>
      </c>
      <c r="F18" s="10">
        <f t="shared" si="2"/>
        <v>190</v>
      </c>
      <c r="G18">
        <v>1</v>
      </c>
      <c r="H18">
        <v>1</v>
      </c>
      <c r="I18">
        <v>11</v>
      </c>
      <c r="J18" s="10">
        <f t="shared" si="3"/>
        <v>13</v>
      </c>
      <c r="K18" s="13">
        <f t="shared" si="4"/>
        <v>203</v>
      </c>
    </row>
    <row r="19" spans="1:11" x14ac:dyDescent="0.3">
      <c r="A19" s="38"/>
      <c r="B19" s="1">
        <v>2013</v>
      </c>
      <c r="C19">
        <v>43</v>
      </c>
      <c r="D19">
        <v>52</v>
      </c>
      <c r="E19">
        <v>26</v>
      </c>
      <c r="F19" s="10">
        <f t="shared" si="2"/>
        <v>121</v>
      </c>
      <c r="J19" s="10">
        <f t="shared" si="3"/>
        <v>0</v>
      </c>
      <c r="K19" s="13">
        <f t="shared" si="4"/>
        <v>121</v>
      </c>
    </row>
    <row r="20" spans="1:11" x14ac:dyDescent="0.3">
      <c r="A20" s="38"/>
      <c r="B20" s="1">
        <v>2014</v>
      </c>
      <c r="D20">
        <v>8</v>
      </c>
      <c r="F20" s="10">
        <f t="shared" si="2"/>
        <v>8</v>
      </c>
      <c r="G20">
        <v>1</v>
      </c>
      <c r="I20">
        <v>3</v>
      </c>
      <c r="J20" s="10">
        <f t="shared" si="3"/>
        <v>4</v>
      </c>
      <c r="K20" s="13">
        <f t="shared" si="4"/>
        <v>12</v>
      </c>
    </row>
    <row r="21" spans="1:11" x14ac:dyDescent="0.3">
      <c r="A21" s="38"/>
      <c r="B21" s="1">
        <v>2015</v>
      </c>
      <c r="F21" s="10">
        <f t="shared" si="2"/>
        <v>0</v>
      </c>
      <c r="G21">
        <v>4</v>
      </c>
      <c r="I21">
        <v>3</v>
      </c>
      <c r="J21" s="10">
        <f t="shared" si="3"/>
        <v>7</v>
      </c>
      <c r="K21" s="13">
        <f t="shared" si="4"/>
        <v>7</v>
      </c>
    </row>
    <row r="22" spans="1:11" x14ac:dyDescent="0.3">
      <c r="A22" s="38"/>
      <c r="B22" s="1">
        <v>2016</v>
      </c>
      <c r="F22" s="10">
        <f t="shared" si="2"/>
        <v>0</v>
      </c>
      <c r="H22">
        <v>2</v>
      </c>
      <c r="I22">
        <v>5</v>
      </c>
      <c r="J22" s="10">
        <f t="shared" si="3"/>
        <v>7</v>
      </c>
      <c r="K22" s="13">
        <f t="shared" si="4"/>
        <v>7</v>
      </c>
    </row>
    <row r="23" spans="1:11" x14ac:dyDescent="0.3">
      <c r="A23" s="38"/>
      <c r="B23" s="1">
        <v>2017</v>
      </c>
      <c r="F23" s="10">
        <f t="shared" si="2"/>
        <v>0</v>
      </c>
      <c r="G23">
        <v>3</v>
      </c>
      <c r="H23">
        <v>1</v>
      </c>
      <c r="I23">
        <v>12</v>
      </c>
      <c r="J23" s="10">
        <f t="shared" si="3"/>
        <v>16</v>
      </c>
      <c r="K23" s="13">
        <f t="shared" si="4"/>
        <v>16</v>
      </c>
    </row>
    <row r="24" spans="1:11" x14ac:dyDescent="0.3">
      <c r="A24" s="38"/>
      <c r="B24" s="1">
        <v>2018</v>
      </c>
      <c r="F24" s="10">
        <f t="shared" si="2"/>
        <v>0</v>
      </c>
      <c r="I24">
        <v>1</v>
      </c>
      <c r="J24" s="10">
        <f t="shared" si="3"/>
        <v>1</v>
      </c>
      <c r="K24" s="13">
        <f t="shared" si="4"/>
        <v>1</v>
      </c>
    </row>
    <row r="25" spans="1:11" x14ac:dyDescent="0.3">
      <c r="A25" s="38"/>
      <c r="B25" s="1">
        <v>2019</v>
      </c>
      <c r="C25">
        <v>4</v>
      </c>
      <c r="D25">
        <v>3</v>
      </c>
      <c r="F25" s="10">
        <f t="shared" si="2"/>
        <v>7</v>
      </c>
      <c r="J25" s="10">
        <f t="shared" si="3"/>
        <v>0</v>
      </c>
      <c r="K25" s="13">
        <f t="shared" si="4"/>
        <v>7</v>
      </c>
    </row>
    <row r="26" spans="1:11" x14ac:dyDescent="0.3">
      <c r="A26" s="27" t="s">
        <v>9</v>
      </c>
      <c r="B26" s="27"/>
      <c r="C26" s="15">
        <f>SUM(C3:C25)</f>
        <v>940</v>
      </c>
      <c r="D26" s="15">
        <f t="shared" ref="D26:K26" si="5">SUM(D3:D25)</f>
        <v>1013</v>
      </c>
      <c r="E26" s="15">
        <f t="shared" si="5"/>
        <v>26</v>
      </c>
      <c r="F26" s="15">
        <f t="shared" si="5"/>
        <v>1979</v>
      </c>
      <c r="G26" s="15">
        <f t="shared" si="5"/>
        <v>145</v>
      </c>
      <c r="H26" s="15">
        <f t="shared" si="5"/>
        <v>141</v>
      </c>
      <c r="I26" s="15">
        <f t="shared" si="5"/>
        <v>97</v>
      </c>
      <c r="J26" s="15">
        <f t="shared" si="5"/>
        <v>383</v>
      </c>
      <c r="K26" s="15">
        <f t="shared" si="5"/>
        <v>2362</v>
      </c>
    </row>
    <row r="27" spans="1:11" x14ac:dyDescent="0.3">
      <c r="A27" s="28" t="s">
        <v>10</v>
      </c>
      <c r="B27" s="1">
        <v>2006</v>
      </c>
      <c r="C27">
        <v>25</v>
      </c>
      <c r="D27">
        <v>27</v>
      </c>
      <c r="E27" s="1"/>
      <c r="F27" s="10">
        <f>SUM(C27:E27)</f>
        <v>52</v>
      </c>
      <c r="G27" s="1"/>
      <c r="H27" s="1"/>
      <c r="J27" s="10">
        <f>SUM(G27:I27)</f>
        <v>0</v>
      </c>
      <c r="K27" s="13">
        <f>F27+J27</f>
        <v>52</v>
      </c>
    </row>
    <row r="28" spans="1:11" x14ac:dyDescent="0.3">
      <c r="A28" s="29"/>
      <c r="B28" s="1">
        <v>2007</v>
      </c>
      <c r="C28">
        <v>25</v>
      </c>
      <c r="D28">
        <v>25</v>
      </c>
      <c r="E28" s="1"/>
      <c r="F28" s="10">
        <f t="shared" ref="F28:F40" si="6">SUM(C28:E28)</f>
        <v>50</v>
      </c>
      <c r="G28" s="1"/>
      <c r="H28" s="1"/>
      <c r="J28" s="10">
        <f t="shared" ref="J28:J40" si="7">SUM(G28:I28)</f>
        <v>0</v>
      </c>
      <c r="K28" s="13">
        <f t="shared" ref="K28:K40" si="8">F28+J28</f>
        <v>50</v>
      </c>
    </row>
    <row r="29" spans="1:11" x14ac:dyDescent="0.3">
      <c r="A29" s="29"/>
      <c r="B29" s="1">
        <v>2008</v>
      </c>
      <c r="C29">
        <v>26</v>
      </c>
      <c r="D29">
        <v>24</v>
      </c>
      <c r="E29" s="1"/>
      <c r="F29" s="10">
        <f t="shared" si="6"/>
        <v>50</v>
      </c>
      <c r="G29" s="1"/>
      <c r="H29" s="1"/>
      <c r="J29" s="10">
        <f t="shared" si="7"/>
        <v>0</v>
      </c>
      <c r="K29" s="13">
        <f t="shared" si="8"/>
        <v>50</v>
      </c>
    </row>
    <row r="30" spans="1:11" x14ac:dyDescent="0.3">
      <c r="A30" s="29"/>
      <c r="B30" s="1">
        <v>2009</v>
      </c>
      <c r="C30">
        <v>44</v>
      </c>
      <c r="D30">
        <v>46</v>
      </c>
      <c r="E30" s="1"/>
      <c r="F30" s="10">
        <f t="shared" si="6"/>
        <v>90</v>
      </c>
      <c r="G30" s="1"/>
      <c r="H30" s="1"/>
      <c r="I30">
        <v>1</v>
      </c>
      <c r="J30" s="10">
        <f t="shared" si="7"/>
        <v>1</v>
      </c>
      <c r="K30" s="13">
        <f t="shared" si="8"/>
        <v>91</v>
      </c>
    </row>
    <row r="31" spans="1:11" x14ac:dyDescent="0.3">
      <c r="A31" s="29"/>
      <c r="B31" s="1">
        <v>2010</v>
      </c>
      <c r="C31">
        <v>38</v>
      </c>
      <c r="D31">
        <v>42</v>
      </c>
      <c r="E31" s="1"/>
      <c r="F31" s="10">
        <f t="shared" si="6"/>
        <v>80</v>
      </c>
      <c r="G31" s="1"/>
      <c r="H31" s="1"/>
      <c r="J31" s="10">
        <f t="shared" si="7"/>
        <v>0</v>
      </c>
      <c r="K31" s="13">
        <f t="shared" si="8"/>
        <v>80</v>
      </c>
    </row>
    <row r="32" spans="1:11" x14ac:dyDescent="0.3">
      <c r="A32" s="29"/>
      <c r="B32" s="1">
        <v>2011</v>
      </c>
      <c r="C32">
        <v>31</v>
      </c>
      <c r="D32">
        <v>29</v>
      </c>
      <c r="E32" s="1"/>
      <c r="F32" s="10">
        <f t="shared" si="6"/>
        <v>60</v>
      </c>
      <c r="G32" s="1"/>
      <c r="H32" s="1"/>
      <c r="J32" s="10">
        <f t="shared" si="7"/>
        <v>0</v>
      </c>
      <c r="K32" s="13">
        <f t="shared" si="8"/>
        <v>60</v>
      </c>
    </row>
    <row r="33" spans="1:11" x14ac:dyDescent="0.3">
      <c r="A33" s="29"/>
      <c r="B33" s="1">
        <v>2012</v>
      </c>
      <c r="C33">
        <v>24</v>
      </c>
      <c r="D33">
        <v>23</v>
      </c>
      <c r="E33" s="1"/>
      <c r="F33" s="10">
        <f t="shared" si="6"/>
        <v>47</v>
      </c>
      <c r="G33" s="1"/>
      <c r="H33" s="1"/>
      <c r="J33" s="10">
        <f t="shared" si="7"/>
        <v>0</v>
      </c>
      <c r="K33" s="13">
        <f t="shared" si="8"/>
        <v>47</v>
      </c>
    </row>
    <row r="34" spans="1:11" x14ac:dyDescent="0.3">
      <c r="A34" s="27" t="s">
        <v>11</v>
      </c>
      <c r="B34" s="27"/>
      <c r="C34" s="15">
        <f t="shared" ref="C34:K34" si="9">SUM(C27:C33)</f>
        <v>213</v>
      </c>
      <c r="D34" s="15">
        <f t="shared" si="9"/>
        <v>216</v>
      </c>
      <c r="E34" s="15">
        <f t="shared" si="9"/>
        <v>0</v>
      </c>
      <c r="F34" s="15">
        <f t="shared" si="9"/>
        <v>429</v>
      </c>
      <c r="G34" s="15">
        <f t="shared" si="9"/>
        <v>0</v>
      </c>
      <c r="H34" s="15">
        <f t="shared" si="9"/>
        <v>0</v>
      </c>
      <c r="I34" s="15">
        <f t="shared" si="9"/>
        <v>1</v>
      </c>
      <c r="J34" s="15">
        <f t="shared" si="9"/>
        <v>1</v>
      </c>
      <c r="K34" s="15">
        <f t="shared" si="9"/>
        <v>430</v>
      </c>
    </row>
    <row r="35" spans="1:11" x14ac:dyDescent="0.3">
      <c r="A35" s="28" t="s">
        <v>36</v>
      </c>
      <c r="B35" s="17">
        <v>1999</v>
      </c>
      <c r="C35" s="1"/>
      <c r="D35" s="1"/>
      <c r="E35" s="1"/>
      <c r="F35" s="10">
        <f t="shared" si="6"/>
        <v>0</v>
      </c>
      <c r="G35" s="1"/>
      <c r="H35" s="1">
        <v>1</v>
      </c>
      <c r="I35" s="1"/>
      <c r="J35" s="10">
        <f t="shared" si="7"/>
        <v>1</v>
      </c>
      <c r="K35" s="13">
        <f t="shared" si="8"/>
        <v>1</v>
      </c>
    </row>
    <row r="36" spans="1:11" x14ac:dyDescent="0.3">
      <c r="A36" s="38"/>
      <c r="B36" s="1">
        <v>2006</v>
      </c>
      <c r="C36" s="1">
        <v>5</v>
      </c>
      <c r="D36" s="1">
        <v>5</v>
      </c>
      <c r="E36" s="1"/>
      <c r="F36" s="10">
        <f t="shared" si="6"/>
        <v>10</v>
      </c>
      <c r="G36" s="1"/>
      <c r="H36" s="1"/>
      <c r="I36" s="1"/>
      <c r="J36" s="10">
        <f t="shared" si="7"/>
        <v>0</v>
      </c>
      <c r="K36" s="13">
        <f t="shared" si="8"/>
        <v>10</v>
      </c>
    </row>
    <row r="37" spans="1:11" x14ac:dyDescent="0.3">
      <c r="A37" s="38"/>
      <c r="B37" s="1">
        <v>2007</v>
      </c>
      <c r="C37" s="1">
        <v>5</v>
      </c>
      <c r="D37" s="1">
        <v>5</v>
      </c>
      <c r="E37" s="1"/>
      <c r="F37" s="10">
        <f t="shared" si="6"/>
        <v>10</v>
      </c>
      <c r="G37" s="1"/>
      <c r="H37" s="1"/>
      <c r="I37" s="1"/>
      <c r="J37" s="10">
        <f t="shared" si="7"/>
        <v>0</v>
      </c>
      <c r="K37" s="13">
        <f t="shared" si="8"/>
        <v>10</v>
      </c>
    </row>
    <row r="38" spans="1:11" x14ac:dyDescent="0.3">
      <c r="A38" s="38"/>
      <c r="B38" s="1">
        <v>2008</v>
      </c>
      <c r="C38" s="1">
        <v>46</v>
      </c>
      <c r="D38" s="1">
        <v>44</v>
      </c>
      <c r="E38" s="1"/>
      <c r="F38" s="10">
        <f t="shared" si="6"/>
        <v>90</v>
      </c>
      <c r="G38" s="1"/>
      <c r="H38" s="1"/>
      <c r="I38" s="1"/>
      <c r="J38" s="10">
        <f t="shared" si="7"/>
        <v>0</v>
      </c>
      <c r="K38" s="13">
        <f t="shared" si="8"/>
        <v>90</v>
      </c>
    </row>
    <row r="39" spans="1:11" x14ac:dyDescent="0.3">
      <c r="A39" s="38"/>
      <c r="B39" s="1">
        <v>2011</v>
      </c>
      <c r="C39" s="1">
        <v>4</v>
      </c>
      <c r="D39" s="1">
        <v>6</v>
      </c>
      <c r="E39" s="1"/>
      <c r="F39" s="10">
        <f t="shared" si="6"/>
        <v>10</v>
      </c>
      <c r="G39" s="1"/>
      <c r="H39" s="1"/>
      <c r="I39" s="1"/>
      <c r="J39" s="10">
        <f t="shared" si="7"/>
        <v>0</v>
      </c>
      <c r="K39" s="13">
        <f t="shared" si="8"/>
        <v>10</v>
      </c>
    </row>
    <row r="40" spans="1:11" x14ac:dyDescent="0.3">
      <c r="A40" s="30"/>
      <c r="B40" s="1">
        <v>2012</v>
      </c>
      <c r="C40" s="1">
        <v>2</v>
      </c>
      <c r="D40" s="1">
        <v>1</v>
      </c>
      <c r="E40" s="1"/>
      <c r="F40" s="10">
        <f t="shared" si="6"/>
        <v>3</v>
      </c>
      <c r="G40" s="1"/>
      <c r="H40" s="1"/>
      <c r="I40" s="1"/>
      <c r="J40" s="10">
        <f t="shared" si="7"/>
        <v>0</v>
      </c>
      <c r="K40" s="13">
        <f t="shared" si="8"/>
        <v>3</v>
      </c>
    </row>
    <row r="41" spans="1:11" x14ac:dyDescent="0.3">
      <c r="A41" s="27" t="s">
        <v>22</v>
      </c>
      <c r="B41" s="27"/>
      <c r="C41" s="15">
        <f>SUM(C35:C40)</f>
        <v>62</v>
      </c>
      <c r="D41" s="15">
        <f t="shared" ref="D41:K41" si="10">SUM(D35:D40)</f>
        <v>61</v>
      </c>
      <c r="E41" s="15">
        <f t="shared" si="10"/>
        <v>0</v>
      </c>
      <c r="F41" s="15">
        <f t="shared" si="10"/>
        <v>123</v>
      </c>
      <c r="G41" s="15">
        <f t="shared" si="10"/>
        <v>0</v>
      </c>
      <c r="H41" s="15">
        <f t="shared" si="10"/>
        <v>1</v>
      </c>
      <c r="I41" s="15">
        <f t="shared" si="10"/>
        <v>0</v>
      </c>
      <c r="J41" s="15">
        <f t="shared" si="10"/>
        <v>1</v>
      </c>
      <c r="K41" s="15">
        <f t="shared" si="10"/>
        <v>124</v>
      </c>
    </row>
    <row r="42" spans="1:11" x14ac:dyDescent="0.3">
      <c r="A42" s="31" t="s">
        <v>35</v>
      </c>
      <c r="B42" s="31"/>
      <c r="C42" s="12">
        <f t="shared" ref="C42:K42" si="11">C41+C34+C26</f>
        <v>1215</v>
      </c>
      <c r="D42" s="12">
        <f t="shared" si="11"/>
        <v>1290</v>
      </c>
      <c r="E42" s="12">
        <f t="shared" si="11"/>
        <v>26</v>
      </c>
      <c r="F42" s="12">
        <f t="shared" si="11"/>
        <v>2531</v>
      </c>
      <c r="G42" s="12">
        <f t="shared" si="11"/>
        <v>145</v>
      </c>
      <c r="H42" s="12">
        <f t="shared" si="11"/>
        <v>142</v>
      </c>
      <c r="I42" s="12">
        <f t="shared" si="11"/>
        <v>98</v>
      </c>
      <c r="J42" s="12">
        <f t="shared" si="11"/>
        <v>385</v>
      </c>
      <c r="K42" s="12">
        <f t="shared" si="11"/>
        <v>2916</v>
      </c>
    </row>
    <row r="43" spans="1:1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</sheetData>
  <mergeCells count="12">
    <mergeCell ref="J1:J2"/>
    <mergeCell ref="K1:K2"/>
    <mergeCell ref="A41:B41"/>
    <mergeCell ref="A42:B42"/>
    <mergeCell ref="C1:E1"/>
    <mergeCell ref="F1:F2"/>
    <mergeCell ref="G1:I1"/>
    <mergeCell ref="A3:A25"/>
    <mergeCell ref="A26:B26"/>
    <mergeCell ref="A27:A33"/>
    <mergeCell ref="A34:B34"/>
    <mergeCell ref="A35:A40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225A9-B272-45A9-9014-FA8DD78C9709}">
  <dimension ref="A1:K48"/>
  <sheetViews>
    <sheetView topLeftCell="A10" workbookViewId="0">
      <selection activeCell="E9" sqref="E9"/>
    </sheetView>
  </sheetViews>
  <sheetFormatPr defaultColWidth="11.44140625" defaultRowHeight="14.4" x14ac:dyDescent="0.3"/>
  <cols>
    <col min="1" max="1" width="13.88671875" style="1" bestFit="1" customWidth="1"/>
    <col min="2" max="5" width="11.44140625" style="1"/>
    <col min="6" max="6" width="17.5546875" style="1" bestFit="1" customWidth="1"/>
    <col min="7" max="16384" width="11.44140625" style="1"/>
  </cols>
  <sheetData>
    <row r="1" spans="1:11" x14ac:dyDescent="0.3">
      <c r="A1" s="18"/>
      <c r="B1" s="18"/>
      <c r="C1" s="32" t="s">
        <v>26</v>
      </c>
      <c r="D1" s="32"/>
      <c r="E1" s="32"/>
      <c r="F1" s="43" t="s">
        <v>27</v>
      </c>
      <c r="G1" s="32" t="s">
        <v>28</v>
      </c>
      <c r="H1" s="32"/>
      <c r="I1" s="32"/>
      <c r="J1" s="33" t="s">
        <v>29</v>
      </c>
      <c r="K1" s="35" t="s">
        <v>35</v>
      </c>
    </row>
    <row r="2" spans="1:11" x14ac:dyDescent="0.3">
      <c r="A2" s="9" t="s">
        <v>42</v>
      </c>
      <c r="B2" s="9" t="s">
        <v>37</v>
      </c>
      <c r="C2" s="9" t="s">
        <v>30</v>
      </c>
      <c r="D2" s="9" t="s">
        <v>31</v>
      </c>
      <c r="E2" s="9" t="s">
        <v>32</v>
      </c>
      <c r="F2" s="44"/>
      <c r="G2" s="9" t="s">
        <v>30</v>
      </c>
      <c r="H2" s="9" t="s">
        <v>31</v>
      </c>
      <c r="I2" s="9" t="s">
        <v>32</v>
      </c>
      <c r="J2" s="34"/>
      <c r="K2" s="36"/>
    </row>
    <row r="3" spans="1:11" x14ac:dyDescent="0.3">
      <c r="A3" s="42" t="s">
        <v>38</v>
      </c>
      <c r="B3" s="1">
        <v>2004</v>
      </c>
      <c r="F3" s="13"/>
      <c r="G3" s="1">
        <v>343</v>
      </c>
      <c r="J3" s="10">
        <v>343</v>
      </c>
      <c r="K3" s="13">
        <v>343</v>
      </c>
    </row>
    <row r="4" spans="1:11" x14ac:dyDescent="0.3">
      <c r="A4" s="32"/>
      <c r="B4" s="1">
        <v>2005</v>
      </c>
      <c r="F4" s="13"/>
      <c r="G4" s="1">
        <v>1254</v>
      </c>
      <c r="J4" s="10">
        <v>1254</v>
      </c>
      <c r="K4" s="13">
        <v>1254</v>
      </c>
    </row>
    <row r="5" spans="1:11" x14ac:dyDescent="0.3">
      <c r="A5" s="32"/>
      <c r="B5" s="1">
        <v>2006</v>
      </c>
      <c r="F5" s="13"/>
      <c r="G5" s="1">
        <v>2836</v>
      </c>
      <c r="J5" s="10">
        <v>2836</v>
      </c>
      <c r="K5" s="13">
        <v>2836</v>
      </c>
    </row>
    <row r="6" spans="1:11" x14ac:dyDescent="0.3">
      <c r="A6" s="32"/>
      <c r="B6" s="1">
        <v>2007</v>
      </c>
      <c r="F6" s="13"/>
      <c r="G6" s="1">
        <v>1431</v>
      </c>
      <c r="J6" s="10">
        <v>1431</v>
      </c>
      <c r="K6" s="13">
        <v>1431</v>
      </c>
    </row>
    <row r="7" spans="1:11" x14ac:dyDescent="0.3">
      <c r="A7" s="32"/>
      <c r="B7" s="1">
        <v>2008</v>
      </c>
      <c r="F7" s="13"/>
      <c r="G7" s="1">
        <v>19830</v>
      </c>
      <c r="J7" s="10">
        <v>19830</v>
      </c>
      <c r="K7" s="13">
        <v>19830</v>
      </c>
    </row>
    <row r="8" spans="1:11" x14ac:dyDescent="0.3">
      <c r="A8" s="32"/>
      <c r="B8" s="1">
        <v>2009</v>
      </c>
      <c r="C8" s="1">
        <v>1225</v>
      </c>
      <c r="F8" s="13">
        <v>1225</v>
      </c>
      <c r="G8" s="1">
        <v>16158</v>
      </c>
      <c r="J8" s="10">
        <v>16158</v>
      </c>
      <c r="K8" s="13">
        <v>17383</v>
      </c>
    </row>
    <row r="9" spans="1:11" x14ac:dyDescent="0.3">
      <c r="A9" s="32"/>
      <c r="B9" s="1">
        <v>2010</v>
      </c>
      <c r="C9" s="1">
        <v>1561</v>
      </c>
      <c r="D9" s="1">
        <v>581</v>
      </c>
      <c r="F9" s="13">
        <v>2142</v>
      </c>
      <c r="G9" s="1">
        <v>6502</v>
      </c>
      <c r="J9" s="10">
        <v>6502</v>
      </c>
      <c r="K9" s="13">
        <v>8644</v>
      </c>
    </row>
    <row r="10" spans="1:11" x14ac:dyDescent="0.3">
      <c r="A10" s="32"/>
      <c r="B10" s="1">
        <v>2011</v>
      </c>
      <c r="C10" s="1">
        <v>5874</v>
      </c>
      <c r="D10" s="1">
        <v>6094</v>
      </c>
      <c r="F10" s="13">
        <v>11968</v>
      </c>
      <c r="G10" s="1">
        <v>2604</v>
      </c>
      <c r="J10" s="10">
        <v>2604</v>
      </c>
      <c r="K10" s="13">
        <v>14572</v>
      </c>
    </row>
    <row r="11" spans="1:11" x14ac:dyDescent="0.3">
      <c r="A11" s="32"/>
      <c r="B11" s="1">
        <v>2012</v>
      </c>
      <c r="C11" s="1">
        <v>34558</v>
      </c>
      <c r="D11" s="1">
        <v>37528</v>
      </c>
      <c r="F11" s="13">
        <v>72086</v>
      </c>
      <c r="G11" s="1">
        <v>2088</v>
      </c>
      <c r="I11" s="1">
        <v>7</v>
      </c>
      <c r="J11" s="10">
        <v>2095</v>
      </c>
      <c r="K11" s="13">
        <v>74181</v>
      </c>
    </row>
    <row r="12" spans="1:11" x14ac:dyDescent="0.3">
      <c r="A12" s="32"/>
      <c r="B12" s="1">
        <v>2013</v>
      </c>
      <c r="C12" s="1">
        <v>93099</v>
      </c>
      <c r="D12" s="1">
        <v>99184</v>
      </c>
      <c r="F12" s="13">
        <v>192283</v>
      </c>
      <c r="G12" s="1">
        <v>227</v>
      </c>
      <c r="J12" s="10">
        <v>227</v>
      </c>
      <c r="K12" s="13">
        <v>192510</v>
      </c>
    </row>
    <row r="13" spans="1:11" x14ac:dyDescent="0.3">
      <c r="A13" s="32"/>
      <c r="B13" s="1">
        <v>2014</v>
      </c>
      <c r="C13" s="1">
        <v>79977</v>
      </c>
      <c r="D13" s="1">
        <v>71170</v>
      </c>
      <c r="F13" s="13">
        <v>151147</v>
      </c>
      <c r="G13" s="1">
        <v>1162</v>
      </c>
      <c r="H13" s="1">
        <v>9394</v>
      </c>
      <c r="I13" s="1">
        <v>41</v>
      </c>
      <c r="J13" s="10">
        <v>10597</v>
      </c>
      <c r="K13" s="13">
        <v>161744</v>
      </c>
    </row>
    <row r="14" spans="1:11" x14ac:dyDescent="0.3">
      <c r="A14" s="32"/>
      <c r="B14" s="1">
        <v>2015</v>
      </c>
      <c r="C14" s="1">
        <v>193916</v>
      </c>
      <c r="D14" s="1">
        <v>181010</v>
      </c>
      <c r="F14" s="13">
        <v>374926</v>
      </c>
      <c r="G14" s="1">
        <v>12100</v>
      </c>
      <c r="H14" s="1">
        <v>19717</v>
      </c>
      <c r="J14" s="10">
        <v>31817</v>
      </c>
      <c r="K14" s="13">
        <v>406743</v>
      </c>
    </row>
    <row r="15" spans="1:11" x14ac:dyDescent="0.3">
      <c r="A15" s="32"/>
      <c r="B15" s="1">
        <v>2016</v>
      </c>
      <c r="C15" s="1">
        <v>323137</v>
      </c>
      <c r="D15" s="1">
        <v>260339</v>
      </c>
      <c r="F15" s="13">
        <v>583476</v>
      </c>
      <c r="G15" s="1">
        <v>30734</v>
      </c>
      <c r="H15" s="1">
        <v>21260</v>
      </c>
      <c r="J15" s="10">
        <v>51994</v>
      </c>
      <c r="K15" s="13">
        <v>635470</v>
      </c>
    </row>
    <row r="16" spans="1:11" x14ac:dyDescent="0.3">
      <c r="A16" s="32"/>
      <c r="B16" s="1">
        <v>2017</v>
      </c>
      <c r="C16" s="1">
        <v>400671</v>
      </c>
      <c r="D16" s="1">
        <v>308268</v>
      </c>
      <c r="F16" s="13">
        <v>708939</v>
      </c>
      <c r="G16" s="1">
        <v>51588</v>
      </c>
      <c r="H16" s="1">
        <v>12918</v>
      </c>
      <c r="J16" s="10">
        <v>64506</v>
      </c>
      <c r="K16" s="13">
        <v>773445</v>
      </c>
    </row>
    <row r="17" spans="1:11" x14ac:dyDescent="0.3">
      <c r="A17" s="32"/>
      <c r="B17" s="1">
        <v>2018</v>
      </c>
      <c r="C17" s="1">
        <v>298837</v>
      </c>
      <c r="D17" s="1">
        <v>227548</v>
      </c>
      <c r="F17" s="13">
        <v>526385</v>
      </c>
      <c r="G17" s="1">
        <v>36407</v>
      </c>
      <c r="H17" s="1">
        <v>8105</v>
      </c>
      <c r="J17" s="10">
        <v>44512</v>
      </c>
      <c r="K17" s="13">
        <v>570897</v>
      </c>
    </row>
    <row r="18" spans="1:11" x14ac:dyDescent="0.3">
      <c r="A18" s="32"/>
      <c r="B18" s="1">
        <v>2019</v>
      </c>
      <c r="C18" s="1">
        <v>562112</v>
      </c>
      <c r="D18" s="1">
        <v>324359</v>
      </c>
      <c r="F18" s="13">
        <v>886471</v>
      </c>
      <c r="G18" s="1">
        <v>68835</v>
      </c>
      <c r="H18" s="1">
        <v>3954</v>
      </c>
      <c r="J18" s="10">
        <v>72789</v>
      </c>
      <c r="K18" s="13">
        <v>959260</v>
      </c>
    </row>
    <row r="19" spans="1:11" x14ac:dyDescent="0.3">
      <c r="A19" s="32"/>
      <c r="B19" s="1">
        <v>2020</v>
      </c>
      <c r="C19" s="1">
        <v>526545</v>
      </c>
      <c r="D19" s="1">
        <v>324379</v>
      </c>
      <c r="F19" s="13">
        <v>850924</v>
      </c>
      <c r="G19" s="1">
        <v>69493</v>
      </c>
      <c r="H19" s="1">
        <v>2020</v>
      </c>
      <c r="J19" s="10">
        <v>71513</v>
      </c>
      <c r="K19" s="13">
        <v>922437</v>
      </c>
    </row>
    <row r="20" spans="1:11" x14ac:dyDescent="0.3">
      <c r="A20" s="32"/>
      <c r="B20" s="1">
        <v>2021</v>
      </c>
      <c r="C20" s="1">
        <v>396179</v>
      </c>
      <c r="D20" s="1">
        <v>191866</v>
      </c>
      <c r="F20" s="13">
        <v>588045</v>
      </c>
      <c r="G20" s="1">
        <v>80833</v>
      </c>
      <c r="H20" s="1">
        <v>3260</v>
      </c>
      <c r="J20" s="10">
        <v>84093</v>
      </c>
      <c r="K20" s="13">
        <v>672138</v>
      </c>
    </row>
    <row r="21" spans="1:11" x14ac:dyDescent="0.3">
      <c r="A21" s="32"/>
      <c r="B21" s="1">
        <v>2022</v>
      </c>
      <c r="C21" s="1">
        <v>239821</v>
      </c>
      <c r="D21" s="1">
        <v>106515</v>
      </c>
      <c r="F21" s="13">
        <v>346336</v>
      </c>
      <c r="G21" s="1">
        <v>72178</v>
      </c>
      <c r="H21" s="1">
        <v>1675</v>
      </c>
      <c r="J21" s="10">
        <v>73853</v>
      </c>
      <c r="K21" s="13">
        <v>420189</v>
      </c>
    </row>
    <row r="22" spans="1:11" x14ac:dyDescent="0.3">
      <c r="A22" s="32"/>
      <c r="B22" s="1">
        <v>2023</v>
      </c>
      <c r="C22" s="1">
        <v>202228</v>
      </c>
      <c r="D22" s="1">
        <v>73988</v>
      </c>
      <c r="F22" s="13">
        <v>276216</v>
      </c>
      <c r="G22" s="1">
        <v>71798</v>
      </c>
      <c r="H22" s="1">
        <v>52</v>
      </c>
      <c r="J22" s="10">
        <v>71850</v>
      </c>
      <c r="K22" s="13">
        <v>348066</v>
      </c>
    </row>
    <row r="23" spans="1:11" x14ac:dyDescent="0.3">
      <c r="A23" s="32"/>
      <c r="B23" s="1">
        <v>2024</v>
      </c>
      <c r="C23" s="1">
        <v>176257</v>
      </c>
      <c r="D23" s="1">
        <v>59019</v>
      </c>
      <c r="F23" s="13">
        <v>235276</v>
      </c>
      <c r="G23" s="1">
        <v>63775</v>
      </c>
      <c r="J23" s="10">
        <v>63775</v>
      </c>
      <c r="K23" s="13">
        <v>299051</v>
      </c>
    </row>
    <row r="24" spans="1:11" x14ac:dyDescent="0.3">
      <c r="A24" s="41"/>
      <c r="B24" s="1">
        <v>2025</v>
      </c>
      <c r="C24" s="1">
        <v>62316</v>
      </c>
      <c r="D24" s="1">
        <v>31370</v>
      </c>
      <c r="E24" s="1">
        <v>5477</v>
      </c>
      <c r="F24" s="13">
        <v>99163</v>
      </c>
      <c r="G24" s="1">
        <v>15919</v>
      </c>
      <c r="J24" s="10">
        <v>15919</v>
      </c>
      <c r="K24" s="13">
        <v>115082</v>
      </c>
    </row>
    <row r="25" spans="1:11" x14ac:dyDescent="0.3">
      <c r="A25" s="39" t="s">
        <v>39</v>
      </c>
      <c r="B25" s="39"/>
      <c r="C25" s="14">
        <v>3598313</v>
      </c>
      <c r="D25" s="14">
        <v>2303218</v>
      </c>
      <c r="E25" s="14">
        <v>5477</v>
      </c>
      <c r="F25" s="14">
        <v>5907008</v>
      </c>
      <c r="G25" s="14">
        <v>628095</v>
      </c>
      <c r="H25" s="14">
        <v>82355</v>
      </c>
      <c r="I25" s="14">
        <v>48</v>
      </c>
      <c r="J25" s="14">
        <v>710498</v>
      </c>
      <c r="K25" s="14">
        <v>6617506</v>
      </c>
    </row>
    <row r="26" spans="1:11" x14ac:dyDescent="0.3">
      <c r="A26" s="40" t="s">
        <v>40</v>
      </c>
      <c r="B26" s="1">
        <v>2005</v>
      </c>
      <c r="F26" s="13"/>
      <c r="G26" s="1">
        <v>10</v>
      </c>
      <c r="J26" s="10">
        <v>10</v>
      </c>
      <c r="K26" s="13">
        <v>10</v>
      </c>
    </row>
    <row r="27" spans="1:11" x14ac:dyDescent="0.3">
      <c r="A27" s="32"/>
      <c r="B27" s="1">
        <v>2006</v>
      </c>
      <c r="F27" s="13"/>
      <c r="G27" s="1">
        <v>4390</v>
      </c>
      <c r="J27" s="10">
        <v>4390</v>
      </c>
      <c r="K27" s="13">
        <v>4390</v>
      </c>
    </row>
    <row r="28" spans="1:11" x14ac:dyDescent="0.3">
      <c r="A28" s="32"/>
      <c r="B28" s="1">
        <v>2007</v>
      </c>
      <c r="F28" s="13"/>
      <c r="G28" s="1">
        <v>19378</v>
      </c>
      <c r="J28" s="10">
        <v>19378</v>
      </c>
      <c r="K28" s="13">
        <v>19378</v>
      </c>
    </row>
    <row r="29" spans="1:11" x14ac:dyDescent="0.3">
      <c r="A29" s="32"/>
      <c r="B29" s="1">
        <v>2008</v>
      </c>
      <c r="F29" s="13"/>
      <c r="G29" s="1">
        <v>23572</v>
      </c>
      <c r="J29" s="10">
        <v>23572</v>
      </c>
      <c r="K29" s="13">
        <v>23572</v>
      </c>
    </row>
    <row r="30" spans="1:11" x14ac:dyDescent="0.3">
      <c r="A30" s="32"/>
      <c r="B30" s="1">
        <v>2009</v>
      </c>
      <c r="C30" s="1">
        <v>357</v>
      </c>
      <c r="F30" s="13">
        <v>357</v>
      </c>
      <c r="G30" s="1">
        <v>18092</v>
      </c>
      <c r="J30" s="10">
        <v>18092</v>
      </c>
      <c r="K30" s="13">
        <v>18449</v>
      </c>
    </row>
    <row r="31" spans="1:11" x14ac:dyDescent="0.3">
      <c r="A31" s="32"/>
      <c r="B31" s="1">
        <v>2010</v>
      </c>
      <c r="C31" s="1">
        <v>1617</v>
      </c>
      <c r="D31" s="1">
        <v>1584</v>
      </c>
      <c r="F31" s="13">
        <v>3201</v>
      </c>
      <c r="G31" s="1">
        <v>14576</v>
      </c>
      <c r="J31" s="10">
        <v>14576</v>
      </c>
      <c r="K31" s="13">
        <v>17777</v>
      </c>
    </row>
    <row r="32" spans="1:11" x14ac:dyDescent="0.3">
      <c r="A32" s="32"/>
      <c r="B32" s="1">
        <v>2011</v>
      </c>
      <c r="C32" s="1">
        <v>3227</v>
      </c>
      <c r="D32" s="1">
        <v>5797</v>
      </c>
      <c r="F32" s="13">
        <v>9024</v>
      </c>
      <c r="G32" s="1">
        <v>3914</v>
      </c>
      <c r="J32" s="10">
        <v>3914</v>
      </c>
      <c r="K32" s="13">
        <v>12938</v>
      </c>
    </row>
    <row r="33" spans="1:11" x14ac:dyDescent="0.3">
      <c r="A33" s="32"/>
      <c r="B33" s="1">
        <v>2012</v>
      </c>
      <c r="C33" s="1">
        <v>20279</v>
      </c>
      <c r="D33" s="1">
        <v>24488</v>
      </c>
      <c r="F33" s="13">
        <v>44767</v>
      </c>
      <c r="G33" s="1">
        <v>1810</v>
      </c>
      <c r="I33" s="1">
        <v>26</v>
      </c>
      <c r="J33" s="10">
        <v>1836</v>
      </c>
      <c r="K33" s="13">
        <v>46603</v>
      </c>
    </row>
    <row r="34" spans="1:11" x14ac:dyDescent="0.3">
      <c r="A34" s="32"/>
      <c r="B34" s="1">
        <v>2013</v>
      </c>
      <c r="C34" s="1">
        <v>242755</v>
      </c>
      <c r="D34" s="1">
        <v>183648</v>
      </c>
      <c r="F34" s="13">
        <v>426403</v>
      </c>
      <c r="G34" s="1">
        <v>191</v>
      </c>
      <c r="J34" s="10">
        <v>191</v>
      </c>
      <c r="K34" s="13">
        <v>426594</v>
      </c>
    </row>
    <row r="35" spans="1:11" x14ac:dyDescent="0.3">
      <c r="A35" s="32"/>
      <c r="B35" s="1">
        <v>2014</v>
      </c>
      <c r="C35" s="1">
        <v>676231</v>
      </c>
      <c r="D35" s="1">
        <v>852203</v>
      </c>
      <c r="F35" s="13">
        <v>1528434</v>
      </c>
      <c r="G35" s="1">
        <v>2991</v>
      </c>
      <c r="H35" s="1">
        <v>433078</v>
      </c>
      <c r="I35" s="1">
        <v>65</v>
      </c>
      <c r="J35" s="10">
        <v>436134</v>
      </c>
      <c r="K35" s="13">
        <v>1964568</v>
      </c>
    </row>
    <row r="36" spans="1:11" x14ac:dyDescent="0.3">
      <c r="A36" s="32"/>
      <c r="B36" s="1">
        <v>2015</v>
      </c>
      <c r="C36" s="1">
        <v>691582</v>
      </c>
      <c r="D36" s="1">
        <v>813763</v>
      </c>
      <c r="F36" s="13">
        <v>1505345</v>
      </c>
      <c r="G36" s="1">
        <v>10277</v>
      </c>
      <c r="H36" s="1">
        <v>445083</v>
      </c>
      <c r="J36" s="10">
        <v>455360</v>
      </c>
      <c r="K36" s="13">
        <v>1960705</v>
      </c>
    </row>
    <row r="37" spans="1:11" x14ac:dyDescent="0.3">
      <c r="A37" s="32"/>
      <c r="B37" s="1">
        <v>2016</v>
      </c>
      <c r="C37" s="1">
        <v>2232822</v>
      </c>
      <c r="D37" s="1">
        <v>2355323</v>
      </c>
      <c r="F37" s="13">
        <v>4588145</v>
      </c>
      <c r="G37" s="1">
        <v>23122</v>
      </c>
      <c r="H37" s="1">
        <v>661399</v>
      </c>
      <c r="J37" s="10">
        <v>684521</v>
      </c>
      <c r="K37" s="13">
        <v>5272666</v>
      </c>
    </row>
    <row r="38" spans="1:11" x14ac:dyDescent="0.3">
      <c r="A38" s="32"/>
      <c r="B38" s="1">
        <v>2017</v>
      </c>
      <c r="C38" s="1">
        <v>1377788</v>
      </c>
      <c r="D38" s="1">
        <v>1787766</v>
      </c>
      <c r="F38" s="13">
        <v>3165554</v>
      </c>
      <c r="G38" s="1">
        <v>43490</v>
      </c>
      <c r="H38" s="1">
        <v>811488</v>
      </c>
      <c r="J38" s="10">
        <v>854978</v>
      </c>
      <c r="K38" s="13">
        <v>4020532</v>
      </c>
    </row>
    <row r="39" spans="1:11" x14ac:dyDescent="0.3">
      <c r="A39" s="32"/>
      <c r="B39" s="1">
        <v>2018</v>
      </c>
      <c r="C39" s="1">
        <v>901514</v>
      </c>
      <c r="D39" s="1">
        <v>1736270</v>
      </c>
      <c r="F39" s="13">
        <v>2637784</v>
      </c>
      <c r="G39" s="1">
        <v>32335</v>
      </c>
      <c r="H39" s="1">
        <v>695949</v>
      </c>
      <c r="J39" s="10">
        <v>728284</v>
      </c>
      <c r="K39" s="13">
        <v>3366068</v>
      </c>
    </row>
    <row r="40" spans="1:11" x14ac:dyDescent="0.3">
      <c r="A40" s="32"/>
      <c r="B40" s="1">
        <v>2019</v>
      </c>
      <c r="C40" s="1">
        <v>1717759</v>
      </c>
      <c r="D40" s="1">
        <v>3240681</v>
      </c>
      <c r="F40" s="13">
        <v>4958440</v>
      </c>
      <c r="G40" s="1">
        <v>55173</v>
      </c>
      <c r="H40" s="1">
        <v>1424242</v>
      </c>
      <c r="J40" s="10">
        <v>1479415</v>
      </c>
      <c r="K40" s="13">
        <v>6437855</v>
      </c>
    </row>
    <row r="41" spans="1:11" x14ac:dyDescent="0.3">
      <c r="A41" s="32"/>
      <c r="B41" s="1">
        <v>2020</v>
      </c>
      <c r="C41" s="1">
        <v>3543945</v>
      </c>
      <c r="D41" s="1">
        <v>4927569</v>
      </c>
      <c r="F41" s="13">
        <v>8471514</v>
      </c>
      <c r="G41" s="1">
        <v>103707</v>
      </c>
      <c r="H41" s="1">
        <v>1531488</v>
      </c>
      <c r="J41" s="10">
        <v>1635195</v>
      </c>
      <c r="K41" s="13">
        <v>10106709</v>
      </c>
    </row>
    <row r="42" spans="1:11" x14ac:dyDescent="0.3">
      <c r="A42" s="32"/>
      <c r="B42" s="1">
        <v>2021</v>
      </c>
      <c r="C42" s="1">
        <v>4031873</v>
      </c>
      <c r="D42" s="1">
        <v>4293572</v>
      </c>
      <c r="F42" s="13">
        <v>8325445</v>
      </c>
      <c r="G42" s="1">
        <v>105783</v>
      </c>
      <c r="H42" s="1">
        <v>1563127</v>
      </c>
      <c r="J42" s="10">
        <v>1668910</v>
      </c>
      <c r="K42" s="13">
        <v>9994355</v>
      </c>
    </row>
    <row r="43" spans="1:11" x14ac:dyDescent="0.3">
      <c r="A43" s="32"/>
      <c r="B43" s="1">
        <v>2022</v>
      </c>
      <c r="C43" s="1">
        <v>3566805</v>
      </c>
      <c r="D43" s="1">
        <v>3301227</v>
      </c>
      <c r="F43" s="13">
        <v>6868032</v>
      </c>
      <c r="G43" s="1">
        <v>76386</v>
      </c>
      <c r="H43" s="1">
        <v>1030635</v>
      </c>
      <c r="J43" s="10">
        <v>1107021</v>
      </c>
      <c r="K43" s="13">
        <v>7975053</v>
      </c>
    </row>
    <row r="44" spans="1:11" x14ac:dyDescent="0.3">
      <c r="A44" s="32"/>
      <c r="B44" s="1">
        <v>2023</v>
      </c>
      <c r="C44" s="1">
        <v>3742186</v>
      </c>
      <c r="D44" s="1">
        <v>2545785</v>
      </c>
      <c r="F44" s="13">
        <v>6287971</v>
      </c>
      <c r="G44" s="1">
        <v>90189</v>
      </c>
      <c r="H44" s="1">
        <v>744600</v>
      </c>
      <c r="J44" s="10">
        <v>834789</v>
      </c>
      <c r="K44" s="13">
        <v>7122760</v>
      </c>
    </row>
    <row r="45" spans="1:11" x14ac:dyDescent="0.3">
      <c r="A45" s="32"/>
      <c r="B45" s="1">
        <v>2024</v>
      </c>
      <c r="C45" s="1">
        <v>2661711</v>
      </c>
      <c r="D45" s="1">
        <v>1734959</v>
      </c>
      <c r="F45" s="13">
        <v>4396670</v>
      </c>
      <c r="G45" s="1">
        <v>276123</v>
      </c>
      <c r="H45" s="1">
        <v>683296</v>
      </c>
      <c r="J45" s="10">
        <v>959419</v>
      </c>
      <c r="K45" s="13">
        <v>5356089</v>
      </c>
    </row>
    <row r="46" spans="1:11" x14ac:dyDescent="0.3">
      <c r="A46" s="41"/>
      <c r="B46" s="1">
        <v>2025</v>
      </c>
      <c r="C46" s="1">
        <v>1595653</v>
      </c>
      <c r="D46" s="1">
        <v>2209539</v>
      </c>
      <c r="E46" s="1">
        <v>6312</v>
      </c>
      <c r="F46" s="13">
        <v>3811504</v>
      </c>
      <c r="G46" s="1">
        <v>883047</v>
      </c>
      <c r="H46" s="1">
        <v>1072021</v>
      </c>
      <c r="J46" s="10">
        <v>1955068</v>
      </c>
      <c r="K46" s="13">
        <v>5766572</v>
      </c>
    </row>
    <row r="47" spans="1:11" x14ac:dyDescent="0.3">
      <c r="A47" s="39" t="s">
        <v>41</v>
      </c>
      <c r="B47" s="39"/>
      <c r="C47" s="14">
        <v>27008104</v>
      </c>
      <c r="D47" s="14">
        <v>30014174</v>
      </c>
      <c r="E47" s="14">
        <v>6312</v>
      </c>
      <c r="F47" s="11">
        <v>57028590</v>
      </c>
      <c r="G47" s="14">
        <v>1788556</v>
      </c>
      <c r="H47" s="14">
        <v>11096406</v>
      </c>
      <c r="I47" s="14">
        <v>91</v>
      </c>
      <c r="J47" s="11">
        <v>12885053</v>
      </c>
      <c r="K47" s="14">
        <v>69913643</v>
      </c>
    </row>
    <row r="48" spans="1:11" x14ac:dyDescent="0.3">
      <c r="A48" s="31" t="s">
        <v>35</v>
      </c>
      <c r="B48" s="31"/>
      <c r="C48" s="12">
        <v>30606417</v>
      </c>
      <c r="D48" s="12">
        <v>32317392</v>
      </c>
      <c r="E48" s="12">
        <v>11789</v>
      </c>
      <c r="F48" s="12">
        <v>62935598</v>
      </c>
      <c r="G48" s="12">
        <v>2416651</v>
      </c>
      <c r="H48" s="12">
        <v>11178761</v>
      </c>
      <c r="I48" s="12">
        <v>139</v>
      </c>
      <c r="J48" s="12">
        <v>13595551</v>
      </c>
      <c r="K48" s="12">
        <v>76531149</v>
      </c>
    </row>
  </sheetData>
  <mergeCells count="10">
    <mergeCell ref="K1:K2"/>
    <mergeCell ref="A25:B25"/>
    <mergeCell ref="A26:A46"/>
    <mergeCell ref="A47:B47"/>
    <mergeCell ref="A48:B48"/>
    <mergeCell ref="A3:A24"/>
    <mergeCell ref="C1:E1"/>
    <mergeCell ref="G1:I1"/>
    <mergeCell ref="F1:F2"/>
    <mergeCell ref="J1:J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5B052-D001-4C25-B8CD-1105345F2B4A}">
  <dimension ref="A1:C7"/>
  <sheetViews>
    <sheetView tabSelected="1" workbookViewId="0"/>
  </sheetViews>
  <sheetFormatPr defaultRowHeight="14.4" x14ac:dyDescent="0.3"/>
  <cols>
    <col min="1" max="1" width="31.88671875" style="46" bestFit="1" customWidth="1"/>
    <col min="2" max="2" width="8.88671875" style="46"/>
  </cols>
  <sheetData>
    <row r="1" spans="1:3" x14ac:dyDescent="0.3">
      <c r="A1" s="45" t="s">
        <v>43</v>
      </c>
      <c r="B1" s="46" t="s">
        <v>51</v>
      </c>
    </row>
    <row r="2" spans="1:3" x14ac:dyDescent="0.3">
      <c r="A2" s="45" t="s">
        <v>44</v>
      </c>
      <c r="B2" s="46" t="s">
        <v>52</v>
      </c>
    </row>
    <row r="3" spans="1:3" x14ac:dyDescent="0.3">
      <c r="A3" s="45" t="s">
        <v>45</v>
      </c>
      <c r="B3" s="46" t="s">
        <v>53</v>
      </c>
    </row>
    <row r="4" spans="1:3" x14ac:dyDescent="0.3">
      <c r="A4" s="45" t="s">
        <v>46</v>
      </c>
      <c r="B4" s="46" t="s">
        <v>54</v>
      </c>
    </row>
    <row r="5" spans="1:3" x14ac:dyDescent="0.3">
      <c r="A5" s="45" t="s">
        <v>47</v>
      </c>
      <c r="B5" s="46" t="s">
        <v>55</v>
      </c>
    </row>
    <row r="6" spans="1:3" x14ac:dyDescent="0.3">
      <c r="A6" s="45" t="s">
        <v>48</v>
      </c>
      <c r="B6" s="46" t="s">
        <v>56</v>
      </c>
    </row>
    <row r="7" spans="1:3" x14ac:dyDescent="0.3">
      <c r="A7" s="45" t="s">
        <v>49</v>
      </c>
      <c r="B7" s="46" t="s">
        <v>57</v>
      </c>
      <c r="C7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Standardized_Count_Obs_Point</vt:lpstr>
      <vt:lpstr>Display_observations</vt:lpstr>
      <vt:lpstr>Houbara_observations_Non_Stand</vt:lpstr>
      <vt:lpstr>Houbara_nests_data</vt:lpstr>
      <vt:lpstr>Automatic_equipment</vt:lpstr>
      <vt:lpstr>VHF_Equipment</vt:lpstr>
      <vt:lpstr>Raw_Automatic_Locations</vt:lpstr>
      <vt:lpstr>Readme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Christelle</dc:creator>
  <cp:lastModifiedBy>Pang, Yuwen</cp:lastModifiedBy>
  <dcterms:created xsi:type="dcterms:W3CDTF">2025-07-11T16:07:53Z</dcterms:created>
  <dcterms:modified xsi:type="dcterms:W3CDTF">2025-07-22T13:48:38Z</dcterms:modified>
</cp:coreProperties>
</file>